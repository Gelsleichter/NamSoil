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1bb1714280980/Documents/3 Soils4Africa/Data/"/>
    </mc:Choice>
  </mc:AlternateContent>
  <xr:revisionPtr revIDLastSave="90" documentId="8_{230F8F1B-7391-4E8A-B992-4DBF9DB602AC}" xr6:coauthVersionLast="47" xr6:coauthVersionMax="47" xr10:uidLastSave="{0F2F4591-0A89-4FC9-85D3-554547C7B8FB}"/>
  <bookViews>
    <workbookView xWindow="-108" yWindow="-108" windowWidth="23256" windowHeight="12456" xr2:uid="{9A08EFB0-2DE6-495B-9521-234A2253B637}"/>
  </bookViews>
  <sheets>
    <sheet name="S4A_Wetchem_20240911_NA" sheetId="1" r:id="rId1"/>
    <sheet name="Sheet1" sheetId="2" r:id="rId2"/>
  </sheets>
  <definedNames>
    <definedName name="_xlnm._FilterDatabase" localSheetId="0" hidden="1">S4A_Wetchem_20240911_NA!$A$1:$BC$74</definedName>
  </definedNames>
  <calcPr calcId="0"/>
</workbook>
</file>

<file path=xl/calcChain.xml><?xml version="1.0" encoding="utf-8"?>
<calcChain xmlns="http://schemas.openxmlformats.org/spreadsheetml/2006/main">
  <c r="Y64" i="1" l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70" i="1" s="1"/>
  <c r="V6" i="1"/>
  <c r="V5" i="1"/>
  <c r="V4" i="1"/>
  <c r="V3" i="1"/>
  <c r="V2" i="1"/>
  <c r="V6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X74" i="1"/>
  <c r="W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X73" i="1"/>
  <c r="W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X72" i="1"/>
  <c r="W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X71" i="1"/>
  <c r="W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X70" i="1"/>
  <c r="W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X69" i="1"/>
  <c r="W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X68" i="1"/>
  <c r="W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73" i="1"/>
  <c r="D72" i="1"/>
  <c r="D71" i="1"/>
  <c r="D70" i="1"/>
  <c r="D69" i="1"/>
  <c r="D68" i="1"/>
  <c r="Y74" i="1" l="1"/>
  <c r="V71" i="1"/>
  <c r="V72" i="1"/>
  <c r="V74" i="1"/>
  <c r="V73" i="1"/>
  <c r="Y68" i="1"/>
  <c r="Y69" i="1"/>
  <c r="V68" i="1"/>
  <c r="V69" i="1"/>
  <c r="Y70" i="1"/>
  <c r="Y71" i="1"/>
  <c r="Y72" i="1"/>
  <c r="Y73" i="1"/>
</calcChain>
</file>

<file path=xl/sharedStrings.xml><?xml version="1.0" encoding="utf-8"?>
<sst xmlns="http://schemas.openxmlformats.org/spreadsheetml/2006/main" count="327" uniqueCount="251">
  <si>
    <t>lab code</t>
  </si>
  <si>
    <t>QR code</t>
  </si>
  <si>
    <t>sample code</t>
  </si>
  <si>
    <t>Fe_ox</t>
  </si>
  <si>
    <t>Al_ox</t>
  </si>
  <si>
    <t>Al</t>
  </si>
  <si>
    <t>B</t>
  </si>
  <si>
    <t>Ca</t>
  </si>
  <si>
    <t>Cu</t>
  </si>
  <si>
    <t>Fe</t>
  </si>
  <si>
    <t>K</t>
  </si>
  <si>
    <t>Mg</t>
  </si>
  <si>
    <t>Mn</t>
  </si>
  <si>
    <t>Na</t>
  </si>
  <si>
    <t xml:space="preserve">P  </t>
  </si>
  <si>
    <t xml:space="preserve">S  </t>
  </si>
  <si>
    <t xml:space="preserve">Zn  </t>
  </si>
  <si>
    <t>coSa</t>
  </si>
  <si>
    <t>meSa</t>
  </si>
  <si>
    <t>fiSa</t>
  </si>
  <si>
    <t>vfiSa</t>
  </si>
  <si>
    <t>coSi</t>
  </si>
  <si>
    <t>fiSi</t>
  </si>
  <si>
    <t>Clay</t>
  </si>
  <si>
    <t>pH-H2O</t>
  </si>
  <si>
    <t>pH-KCL</t>
  </si>
  <si>
    <t>EC</t>
  </si>
  <si>
    <t>CaCO3</t>
  </si>
  <si>
    <t>inorgC</t>
  </si>
  <si>
    <t>totC</t>
  </si>
  <si>
    <t>orgC</t>
  </si>
  <si>
    <t>totN</t>
  </si>
  <si>
    <t>exchCa</t>
  </si>
  <si>
    <t>exchMg</t>
  </si>
  <si>
    <t>exchK</t>
  </si>
  <si>
    <t>exchNa</t>
  </si>
  <si>
    <t>CEC</t>
  </si>
  <si>
    <t>exchH</t>
  </si>
  <si>
    <t>exchAl</t>
  </si>
  <si>
    <t>BaseSat</t>
  </si>
  <si>
    <t>exchAcid</t>
  </si>
  <si>
    <t>totMo</t>
  </si>
  <si>
    <t>totCd</t>
  </si>
  <si>
    <t>totPb</t>
  </si>
  <si>
    <t>totV</t>
  </si>
  <si>
    <t>totHg</t>
  </si>
  <si>
    <t>totCr</t>
  </si>
  <si>
    <t>totCo</t>
  </si>
  <si>
    <t>totNi</t>
  </si>
  <si>
    <t>totCu</t>
  </si>
  <si>
    <t>totZn</t>
  </si>
  <si>
    <t>totAs</t>
  </si>
  <si>
    <t>totSb</t>
  </si>
  <si>
    <t>S4A 369</t>
  </si>
  <si>
    <t>NAM-kWYWP</t>
  </si>
  <si>
    <t>NA002-3-1T</t>
  </si>
  <si>
    <t>S4A 370</t>
  </si>
  <si>
    <t>NAM-v47CR</t>
  </si>
  <si>
    <t>NA002-3-1S</t>
  </si>
  <si>
    <t>S4A 371</t>
  </si>
  <si>
    <t>NAM-QDen2</t>
  </si>
  <si>
    <t>NA003-2-2T</t>
  </si>
  <si>
    <t>S4A 372</t>
  </si>
  <si>
    <t>NAM-njFLL</t>
  </si>
  <si>
    <t>NA003-2-2S</t>
  </si>
  <si>
    <t>S4A 373</t>
  </si>
  <si>
    <t>NAM-wjrQT</t>
  </si>
  <si>
    <t>NA004-1-1T</t>
  </si>
  <si>
    <t>S4A 374</t>
  </si>
  <si>
    <t>NAM-7SsID</t>
  </si>
  <si>
    <t>NA004-1-1S</t>
  </si>
  <si>
    <t>S4A 375</t>
  </si>
  <si>
    <t>NAM-NO68m</t>
  </si>
  <si>
    <t>NA005-1-3T</t>
  </si>
  <si>
    <t>S4A 376</t>
  </si>
  <si>
    <t>NAM-RQ6nU</t>
  </si>
  <si>
    <t>NA005-1-3S</t>
  </si>
  <si>
    <t>S4A 377</t>
  </si>
  <si>
    <t>NAM-38RL4</t>
  </si>
  <si>
    <t>NA006-1-1T</t>
  </si>
  <si>
    <t>S4A 378</t>
  </si>
  <si>
    <t>NAM-SDLMg</t>
  </si>
  <si>
    <t>NA006-1-1S</t>
  </si>
  <si>
    <t>S4A 379</t>
  </si>
  <si>
    <t>NAM-B9pfM</t>
  </si>
  <si>
    <t>NA006-4-1T</t>
  </si>
  <si>
    <t>S4A 380</t>
  </si>
  <si>
    <t>NAM-UdkSw</t>
  </si>
  <si>
    <t>NA006-4-1S</t>
  </si>
  <si>
    <t>S4A 381</t>
  </si>
  <si>
    <t>NAM-yZonf</t>
  </si>
  <si>
    <t>NA008-1-2T</t>
  </si>
  <si>
    <t>S4A 382</t>
  </si>
  <si>
    <t>NAM-1Bq3P</t>
  </si>
  <si>
    <t>NA012-2-1T</t>
  </si>
  <si>
    <t>S4A 383</t>
  </si>
  <si>
    <t>NAM-qfKf0</t>
  </si>
  <si>
    <t>NA012-2-1S</t>
  </si>
  <si>
    <t>S4A 384</t>
  </si>
  <si>
    <t>NAM-nxvNW</t>
  </si>
  <si>
    <t>NA014-1-1T</t>
  </si>
  <si>
    <t>S4A 385</t>
  </si>
  <si>
    <t>NAM-mxHFY</t>
  </si>
  <si>
    <t>NA014-1-1S</t>
  </si>
  <si>
    <t>S4A 386</t>
  </si>
  <si>
    <t>NAM-rMFKJ</t>
  </si>
  <si>
    <t>NA018-1-1T</t>
  </si>
  <si>
    <t>S4A 387</t>
  </si>
  <si>
    <t>NAM-fjkJv</t>
  </si>
  <si>
    <t>NA018-1-1S</t>
  </si>
  <si>
    <t>S4A 388</t>
  </si>
  <si>
    <t>NAM-oy5py</t>
  </si>
  <si>
    <t>NA019-1-1T</t>
  </si>
  <si>
    <t>S4A 389</t>
  </si>
  <si>
    <t>NAM-v0vtn</t>
  </si>
  <si>
    <t>NA019-1-1S</t>
  </si>
  <si>
    <t>S4A 390</t>
  </si>
  <si>
    <t>NAM-BjWCY</t>
  </si>
  <si>
    <t>NA020-1-3T</t>
  </si>
  <si>
    <t>S4A 391</t>
  </si>
  <si>
    <t>NAM-IMHts</t>
  </si>
  <si>
    <t>NA020-1-3S</t>
  </si>
  <si>
    <t>S4A 392</t>
  </si>
  <si>
    <t>NAM-HITNI</t>
  </si>
  <si>
    <t>NA024-1-1T</t>
  </si>
  <si>
    <t>S4A 393</t>
  </si>
  <si>
    <t>NAM-UTD9i</t>
  </si>
  <si>
    <t>NA024-1-1S</t>
  </si>
  <si>
    <t>S4A 394</t>
  </si>
  <si>
    <t>NAM-GUT6k</t>
  </si>
  <si>
    <t>NA025-1-2T</t>
  </si>
  <si>
    <t>S4A 395</t>
  </si>
  <si>
    <t>NAM-fiyny</t>
  </si>
  <si>
    <t>NA025-5-1T</t>
  </si>
  <si>
    <t>S4A 396</t>
  </si>
  <si>
    <t>NAM-ZfINM</t>
  </si>
  <si>
    <t>NA025-5-1S</t>
  </si>
  <si>
    <t>S4A 397</t>
  </si>
  <si>
    <t>NAM-c09VB</t>
  </si>
  <si>
    <t>Na026-1-1T</t>
  </si>
  <si>
    <t>S4A 398</t>
  </si>
  <si>
    <t>NAM-EcGBO</t>
  </si>
  <si>
    <t>Na026-1-1S</t>
  </si>
  <si>
    <t>S4A 399</t>
  </si>
  <si>
    <t>NAM-gug8V</t>
  </si>
  <si>
    <t>NA028-3-1T</t>
  </si>
  <si>
    <t>S4A 400</t>
  </si>
  <si>
    <t>NAM-rkwi9</t>
  </si>
  <si>
    <t>NA028-3-1S</t>
  </si>
  <si>
    <t>S4A 401</t>
  </si>
  <si>
    <t>NAM-zHK7W</t>
  </si>
  <si>
    <t>NA036-3-1T</t>
  </si>
  <si>
    <t>S4A 402</t>
  </si>
  <si>
    <t>NAM-KKbyK</t>
  </si>
  <si>
    <t>NA036-3-1S</t>
  </si>
  <si>
    <t>S4A 403</t>
  </si>
  <si>
    <t>NAM-RdGJY</t>
  </si>
  <si>
    <t>NA050-1-1T</t>
  </si>
  <si>
    <t>S4A 404</t>
  </si>
  <si>
    <t>NAM-hxzrE</t>
  </si>
  <si>
    <t>NA050-1-1S</t>
  </si>
  <si>
    <t>S4A 405</t>
  </si>
  <si>
    <t>NAM-9OIrd</t>
  </si>
  <si>
    <t>NA050-2-1T</t>
  </si>
  <si>
    <t>S4A 406</t>
  </si>
  <si>
    <t>NAM-89FkI</t>
  </si>
  <si>
    <t>NA050-2-1S</t>
  </si>
  <si>
    <t>S4A 407</t>
  </si>
  <si>
    <t>NAM-QOHf6</t>
  </si>
  <si>
    <t>NA053-1-1T</t>
  </si>
  <si>
    <t>S4A 408</t>
  </si>
  <si>
    <t>NAM-nRsA0</t>
  </si>
  <si>
    <t>NA054-3-1T</t>
  </si>
  <si>
    <t>S4A 409</t>
  </si>
  <si>
    <t>NAM-Q0aeQ</t>
  </si>
  <si>
    <t>NA054-3-1S</t>
  </si>
  <si>
    <t>S4A 410</t>
  </si>
  <si>
    <t>NAM-qQElf</t>
  </si>
  <si>
    <t>NA055-2-1T</t>
  </si>
  <si>
    <t>S4A 411</t>
  </si>
  <si>
    <t>NAM-GnH9Q</t>
  </si>
  <si>
    <t>NA055-2-1S</t>
  </si>
  <si>
    <t>S4A 412</t>
  </si>
  <si>
    <t>NAM-eX4Wm</t>
  </si>
  <si>
    <t>NA058-1-1T</t>
  </si>
  <si>
    <t>S4A 413</t>
  </si>
  <si>
    <t>NAM-PyMNc</t>
  </si>
  <si>
    <t>NA058-1-1S</t>
  </si>
  <si>
    <t>S4A 414</t>
  </si>
  <si>
    <t>NAM-Xou9A</t>
  </si>
  <si>
    <t>NA060-2-1T</t>
  </si>
  <si>
    <t>S4A 415</t>
  </si>
  <si>
    <t>NAM-PXrlB</t>
  </si>
  <si>
    <t>NA060-2-1S</t>
  </si>
  <si>
    <t>S4A 416</t>
  </si>
  <si>
    <t>NAM-6oPlM</t>
  </si>
  <si>
    <t>NA060-6-2T</t>
  </si>
  <si>
    <t>S4A 417</t>
  </si>
  <si>
    <t>NAM-2TNYP</t>
  </si>
  <si>
    <t>NA060-6-2S</t>
  </si>
  <si>
    <t>S4A 418</t>
  </si>
  <si>
    <t>NAM-pAHMm</t>
  </si>
  <si>
    <t>NA064-1-1T</t>
  </si>
  <si>
    <t>S4A 419</t>
  </si>
  <si>
    <t>NAM-ZE6PJ</t>
  </si>
  <si>
    <t>NA064-1-1S</t>
  </si>
  <si>
    <t>S4A 420</t>
  </si>
  <si>
    <t>NAM-OYB0L</t>
  </si>
  <si>
    <t>NA065-2-1T</t>
  </si>
  <si>
    <t>S4A 421</t>
  </si>
  <si>
    <t>NAM-crtgo</t>
  </si>
  <si>
    <t>NA065-2-1S</t>
  </si>
  <si>
    <t>S4A 422</t>
  </si>
  <si>
    <t>NAM-4wJNE</t>
  </si>
  <si>
    <t>NA066-1-1T</t>
  </si>
  <si>
    <t>S4A 423</t>
  </si>
  <si>
    <t>NAM-R5dfv</t>
  </si>
  <si>
    <t>NA066-1-1S</t>
  </si>
  <si>
    <t>S4A 424</t>
  </si>
  <si>
    <t>NAM-4Jagd</t>
  </si>
  <si>
    <t>NA068-1-1T</t>
  </si>
  <si>
    <t>S4A 425</t>
  </si>
  <si>
    <t>NAM-I3nGb</t>
  </si>
  <si>
    <t>NA068-1-1S</t>
  </si>
  <si>
    <t>S4A 426</t>
  </si>
  <si>
    <t>NAM-eU7ft</t>
  </si>
  <si>
    <t>NA077-1-1T</t>
  </si>
  <si>
    <t>S4A 427</t>
  </si>
  <si>
    <t>NAM-FsK0g</t>
  </si>
  <si>
    <t>NA077-1-1S</t>
  </si>
  <si>
    <t>S4A 428</t>
  </si>
  <si>
    <t>NAM-0XB04</t>
  </si>
  <si>
    <t>NA089-1-2T</t>
  </si>
  <si>
    <t>S4A 429</t>
  </si>
  <si>
    <t>NAM-C1in0</t>
  </si>
  <si>
    <t>NA089-1-2S</t>
  </si>
  <si>
    <t>S4A 430</t>
  </si>
  <si>
    <t>NAM-U0ihb</t>
  </si>
  <si>
    <t>NA089-2-2T</t>
  </si>
  <si>
    <t>S4A 431</t>
  </si>
  <si>
    <t>NAM-4Bik3</t>
  </si>
  <si>
    <t>NA089-2-2S</t>
  </si>
  <si>
    <t>n</t>
  </si>
  <si>
    <t>Min</t>
  </si>
  <si>
    <t>Max</t>
  </si>
  <si>
    <t>Mean</t>
  </si>
  <si>
    <t>Median</t>
  </si>
  <si>
    <t>SD</t>
  </si>
  <si>
    <t>Skewness</t>
  </si>
  <si>
    <t>Sa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</si>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</sst>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0" fillId="0" borderId="0" xfId="0" applyFont="1"/>
    <xf numFmtId="2" fontId="18" fillId="0" borderId="0" xfId="0" applyNumberFormat="1" applyFont="1" applyAlignment="1">
      <alignment vertical="center" wrapText="1"/>
    </xf>
    <xf numFmtId="0" fontId="19" fillId="0" borderId="0" xfId="0" applyFont="1"/>
    <xf numFmtId="0" fontId="16" fillId="0" borderId="0" xfId="0" applyFont="1"/>
    <xf numFmtId="2" fontId="19" fillId="0" borderId="0" xfId="0" applyNumberFormat="1" applyFont="1" applyAlignment="1">
      <alignment vertical="center" wrapText="1"/>
    </xf>
    <xf numFmtId="0" fontId="20" fillId="0" borderId="0" xfId="0" applyFont="1"/>
    <xf numFmtId="0" fontId="21" fillId="0" borderId="0" xfId="0" applyFont="1"/>
    <xf numFmtId="2" fontId="20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428477690288714"/>
                  <c:y val="1.47528433945756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A"/>
                </a:p>
              </c:txPr>
            </c:trendlineLbl>
          </c:trendline>
          <c:xVal>
            <c:numRef>
              <c:f>S4A_Wetchem_20240911_NA!$AB$2:$AB$64</c:f>
              <c:numCache>
                <c:formatCode>General</c:formatCode>
                <c:ptCount val="63"/>
                <c:pt idx="0">
                  <c:v>7.99</c:v>
                </c:pt>
                <c:pt idx="1">
                  <c:v>8.06</c:v>
                </c:pt>
                <c:pt idx="2">
                  <c:v>7.81</c:v>
                </c:pt>
                <c:pt idx="3">
                  <c:v>7.81</c:v>
                </c:pt>
                <c:pt idx="4">
                  <c:v>5.13</c:v>
                </c:pt>
                <c:pt idx="5">
                  <c:v>4.43</c:v>
                </c:pt>
                <c:pt idx="6">
                  <c:v>7.02</c:v>
                </c:pt>
                <c:pt idx="7">
                  <c:v>8.08</c:v>
                </c:pt>
                <c:pt idx="8">
                  <c:v>6.3</c:v>
                </c:pt>
                <c:pt idx="9">
                  <c:v>5.64</c:v>
                </c:pt>
                <c:pt idx="10">
                  <c:v>5.21</c:v>
                </c:pt>
                <c:pt idx="11">
                  <c:v>7.79</c:v>
                </c:pt>
                <c:pt idx="12">
                  <c:v>5.92</c:v>
                </c:pt>
                <c:pt idx="13">
                  <c:v>6.3</c:v>
                </c:pt>
                <c:pt idx="14">
                  <c:v>7.77</c:v>
                </c:pt>
                <c:pt idx="15">
                  <c:v>5.94</c:v>
                </c:pt>
                <c:pt idx="16">
                  <c:v>5.05</c:v>
                </c:pt>
                <c:pt idx="17">
                  <c:v>6.96</c:v>
                </c:pt>
                <c:pt idx="18">
                  <c:v>6.93</c:v>
                </c:pt>
                <c:pt idx="19">
                  <c:v>7.02</c:v>
                </c:pt>
                <c:pt idx="20">
                  <c:v>6.17</c:v>
                </c:pt>
                <c:pt idx="21">
                  <c:v>7.02</c:v>
                </c:pt>
                <c:pt idx="22">
                  <c:v>6.17</c:v>
                </c:pt>
                <c:pt idx="23">
                  <c:v>7.14</c:v>
                </c:pt>
                <c:pt idx="24">
                  <c:v>7.49</c:v>
                </c:pt>
                <c:pt idx="25">
                  <c:v>6.5</c:v>
                </c:pt>
                <c:pt idx="26">
                  <c:v>6.43</c:v>
                </c:pt>
                <c:pt idx="27">
                  <c:v>6.01</c:v>
                </c:pt>
                <c:pt idx="28">
                  <c:v>5.32</c:v>
                </c:pt>
                <c:pt idx="29">
                  <c:v>5.3</c:v>
                </c:pt>
                <c:pt idx="30">
                  <c:v>6.17</c:v>
                </c:pt>
                <c:pt idx="31">
                  <c:v>6.28</c:v>
                </c:pt>
                <c:pt idx="32">
                  <c:v>7.83</c:v>
                </c:pt>
                <c:pt idx="33">
                  <c:v>7.92</c:v>
                </c:pt>
                <c:pt idx="34">
                  <c:v>5</c:v>
                </c:pt>
                <c:pt idx="35">
                  <c:v>4.92</c:v>
                </c:pt>
                <c:pt idx="36">
                  <c:v>4.04</c:v>
                </c:pt>
                <c:pt idx="37">
                  <c:v>4.46</c:v>
                </c:pt>
                <c:pt idx="38">
                  <c:v>5.77</c:v>
                </c:pt>
                <c:pt idx="39">
                  <c:v>6.41</c:v>
                </c:pt>
                <c:pt idx="40">
                  <c:v>6.68</c:v>
                </c:pt>
                <c:pt idx="41">
                  <c:v>6.34</c:v>
                </c:pt>
                <c:pt idx="42">
                  <c:v>5.84</c:v>
                </c:pt>
                <c:pt idx="43">
                  <c:v>6.85</c:v>
                </c:pt>
                <c:pt idx="44">
                  <c:v>6.52</c:v>
                </c:pt>
                <c:pt idx="45">
                  <c:v>4.3600000000000003</c:v>
                </c:pt>
                <c:pt idx="46">
                  <c:v>4.4000000000000004</c:v>
                </c:pt>
                <c:pt idx="47">
                  <c:v>6.52</c:v>
                </c:pt>
                <c:pt idx="48">
                  <c:v>6.1</c:v>
                </c:pt>
                <c:pt idx="49">
                  <c:v>6.33</c:v>
                </c:pt>
                <c:pt idx="50">
                  <c:v>4.6100000000000003</c:v>
                </c:pt>
                <c:pt idx="51">
                  <c:v>6.54</c:v>
                </c:pt>
                <c:pt idx="52">
                  <c:v>4.4800000000000004</c:v>
                </c:pt>
                <c:pt idx="53">
                  <c:v>5.05</c:v>
                </c:pt>
                <c:pt idx="54">
                  <c:v>6.2</c:v>
                </c:pt>
                <c:pt idx="55">
                  <c:v>5.89</c:v>
                </c:pt>
                <c:pt idx="56">
                  <c:v>5.7</c:v>
                </c:pt>
                <c:pt idx="57">
                  <c:v>7.78</c:v>
                </c:pt>
                <c:pt idx="58">
                  <c:v>7.86</c:v>
                </c:pt>
                <c:pt idx="59">
                  <c:v>7.84</c:v>
                </c:pt>
                <c:pt idx="60">
                  <c:v>5.07</c:v>
                </c:pt>
                <c:pt idx="61">
                  <c:v>4.96</c:v>
                </c:pt>
                <c:pt idx="62">
                  <c:v>5.07</c:v>
                </c:pt>
              </c:numCache>
            </c:numRef>
          </c:xVal>
          <c:yVal>
            <c:numRef>
              <c:f>S4A_Wetchem_20240911_NA!$AA$2:$AA$64</c:f>
              <c:numCache>
                <c:formatCode>General</c:formatCode>
                <c:ptCount val="63"/>
                <c:pt idx="0">
                  <c:v>8.02</c:v>
                </c:pt>
                <c:pt idx="1">
                  <c:v>8.4</c:v>
                </c:pt>
                <c:pt idx="2">
                  <c:v>8.1300000000000008</c:v>
                </c:pt>
                <c:pt idx="3">
                  <c:v>8.18</c:v>
                </c:pt>
                <c:pt idx="4">
                  <c:v>5.83</c:v>
                </c:pt>
                <c:pt idx="5">
                  <c:v>5.07</c:v>
                </c:pt>
                <c:pt idx="6">
                  <c:v>6.86</c:v>
                </c:pt>
                <c:pt idx="7">
                  <c:v>7.83</c:v>
                </c:pt>
                <c:pt idx="8">
                  <c:v>6.03</c:v>
                </c:pt>
                <c:pt idx="9">
                  <c:v>5.76</c:v>
                </c:pt>
                <c:pt idx="10">
                  <c:v>5.48</c:v>
                </c:pt>
                <c:pt idx="11">
                  <c:v>7.56</c:v>
                </c:pt>
                <c:pt idx="12">
                  <c:v>5.86</c:v>
                </c:pt>
                <c:pt idx="13">
                  <c:v>6.26</c:v>
                </c:pt>
                <c:pt idx="14">
                  <c:v>7.81</c:v>
                </c:pt>
                <c:pt idx="15">
                  <c:v>6.07</c:v>
                </c:pt>
                <c:pt idx="16">
                  <c:v>5.52</c:v>
                </c:pt>
                <c:pt idx="17">
                  <c:v>6.72</c:v>
                </c:pt>
                <c:pt idx="18">
                  <c:v>6.43</c:v>
                </c:pt>
                <c:pt idx="19">
                  <c:v>7.26</c:v>
                </c:pt>
                <c:pt idx="20">
                  <c:v>6.67</c:v>
                </c:pt>
                <c:pt idx="21">
                  <c:v>7.26</c:v>
                </c:pt>
                <c:pt idx="22">
                  <c:v>6.67</c:v>
                </c:pt>
                <c:pt idx="23">
                  <c:v>7.06</c:v>
                </c:pt>
                <c:pt idx="24">
                  <c:v>7.44</c:v>
                </c:pt>
                <c:pt idx="25">
                  <c:v>6.61</c:v>
                </c:pt>
                <c:pt idx="26">
                  <c:v>6.45</c:v>
                </c:pt>
                <c:pt idx="27">
                  <c:v>6.2</c:v>
                </c:pt>
                <c:pt idx="28">
                  <c:v>5.88</c:v>
                </c:pt>
                <c:pt idx="29">
                  <c:v>5.85</c:v>
                </c:pt>
                <c:pt idx="30">
                  <c:v>6.01</c:v>
                </c:pt>
                <c:pt idx="31">
                  <c:v>6.27</c:v>
                </c:pt>
                <c:pt idx="32">
                  <c:v>7.92</c:v>
                </c:pt>
                <c:pt idx="33">
                  <c:v>8.35</c:v>
                </c:pt>
                <c:pt idx="34">
                  <c:v>5.55</c:v>
                </c:pt>
                <c:pt idx="35">
                  <c:v>5.32</c:v>
                </c:pt>
                <c:pt idx="36">
                  <c:v>4.5199999999999996</c:v>
                </c:pt>
                <c:pt idx="37">
                  <c:v>4.87</c:v>
                </c:pt>
                <c:pt idx="38">
                  <c:v>5.77</c:v>
                </c:pt>
                <c:pt idx="39">
                  <c:v>6.24</c:v>
                </c:pt>
                <c:pt idx="40">
                  <c:v>6.66</c:v>
                </c:pt>
                <c:pt idx="41">
                  <c:v>6.05</c:v>
                </c:pt>
                <c:pt idx="42">
                  <c:v>5.96</c:v>
                </c:pt>
                <c:pt idx="43">
                  <c:v>6.73</c:v>
                </c:pt>
                <c:pt idx="44">
                  <c:v>6.83</c:v>
                </c:pt>
                <c:pt idx="45">
                  <c:v>5.01</c:v>
                </c:pt>
                <c:pt idx="46">
                  <c:v>4.87</c:v>
                </c:pt>
                <c:pt idx="47">
                  <c:v>6.52</c:v>
                </c:pt>
                <c:pt idx="48">
                  <c:v>6.27</c:v>
                </c:pt>
                <c:pt idx="49">
                  <c:v>6.11</c:v>
                </c:pt>
                <c:pt idx="50">
                  <c:v>4.93</c:v>
                </c:pt>
                <c:pt idx="51">
                  <c:v>5.03</c:v>
                </c:pt>
                <c:pt idx="52">
                  <c:v>4.9400000000000004</c:v>
                </c:pt>
                <c:pt idx="53">
                  <c:v>5.25</c:v>
                </c:pt>
                <c:pt idx="54">
                  <c:v>5.33</c:v>
                </c:pt>
                <c:pt idx="55">
                  <c:v>5.91</c:v>
                </c:pt>
                <c:pt idx="56">
                  <c:v>6.03</c:v>
                </c:pt>
                <c:pt idx="57">
                  <c:v>7.94</c:v>
                </c:pt>
                <c:pt idx="58">
                  <c:v>7.92</c:v>
                </c:pt>
                <c:pt idx="59">
                  <c:v>8.02</c:v>
                </c:pt>
                <c:pt idx="60">
                  <c:v>5.64</c:v>
                </c:pt>
                <c:pt idx="61">
                  <c:v>5.38</c:v>
                </c:pt>
                <c:pt idx="62">
                  <c:v>5.66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A-4008-9D90-44D315A53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990992"/>
        <c:axId val="2033985232"/>
      </c:scatterChart>
      <c:valAx>
        <c:axId val="203399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2033985232"/>
        <c:crosses val="autoZero"/>
        <c:crossBetween val="midCat"/>
      </c:valAx>
      <c:valAx>
        <c:axId val="20339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203399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582930</xdr:colOff>
      <xdr:row>75</xdr:row>
      <xdr:rowOff>171450</xdr:rowOff>
    </xdr:from>
    <xdr:to>
      <xdr:col>28</xdr:col>
      <xdr:colOff>461010</xdr:colOff>
      <xdr:row>90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0C5660-B768-ACD9-99EB-5AB361D98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8FCD-067F-4703-A640-1E7BD9FDAB47}">
  <dimension ref="A1:BC74"/>
  <sheetViews>
    <sheetView tabSelected="1" workbookViewId="0">
      <pane xSplit="3" ySplit="1" topLeftCell="AJ26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1" max="1" width="7.77734375" style="3" bestFit="1" customWidth="1"/>
    <col min="2" max="2" width="12" style="3" bestFit="1" customWidth="1"/>
    <col min="3" max="3" width="11.21875" style="3" bestFit="1" customWidth="1"/>
    <col min="4" max="21" width="9.77734375" style="3" customWidth="1"/>
    <col min="22" max="22" width="9.77734375" style="8" customWidth="1"/>
    <col min="23" max="24" width="9.77734375" style="3" customWidth="1"/>
    <col min="25" max="25" width="9.77734375" style="8" customWidth="1"/>
    <col min="26" max="55" width="9.77734375" style="3" customWidth="1"/>
    <col min="56" max="16384" width="8.88671875" style="3"/>
  </cols>
  <sheetData>
    <row r="1" spans="1:55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9" t="s">
        <v>249</v>
      </c>
      <c r="W1" s="6" t="s">
        <v>21</v>
      </c>
      <c r="X1" s="6" t="s">
        <v>22</v>
      </c>
      <c r="Y1" s="9" t="s">
        <v>250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</row>
    <row r="2" spans="1:55" x14ac:dyDescent="0.3">
      <c r="A2" s="3" t="s">
        <v>53</v>
      </c>
      <c r="B2" s="3" t="s">
        <v>54</v>
      </c>
      <c r="C2" s="3" t="s">
        <v>55</v>
      </c>
      <c r="D2" s="3">
        <v>2181</v>
      </c>
      <c r="E2" s="3">
        <v>1043</v>
      </c>
      <c r="F2" s="3">
        <v>35.78</v>
      </c>
      <c r="G2" s="3">
        <v>0.54</v>
      </c>
      <c r="H2" s="3">
        <v>3815</v>
      </c>
      <c r="I2" s="3">
        <v>0.6</v>
      </c>
      <c r="J2" s="3">
        <v>36.08</v>
      </c>
      <c r="K2" s="3">
        <v>316.43</v>
      </c>
      <c r="L2" s="3">
        <v>230.26</v>
      </c>
      <c r="M2" s="3">
        <v>120.97</v>
      </c>
      <c r="N2" s="3">
        <v>91.96</v>
      </c>
      <c r="O2" s="3">
        <v>36.29</v>
      </c>
      <c r="P2" s="3">
        <v>50.89</v>
      </c>
      <c r="Q2" s="3">
        <v>6.39</v>
      </c>
      <c r="R2" s="3">
        <v>13.1</v>
      </c>
      <c r="S2" s="3">
        <v>20.399999999999999</v>
      </c>
      <c r="T2" s="3">
        <v>30.2</v>
      </c>
      <c r="U2" s="3">
        <v>11.1</v>
      </c>
      <c r="V2" s="8">
        <f t="shared" ref="V2:V63" si="0">SUM(R2:U2)</f>
        <v>74.8</v>
      </c>
      <c r="W2" s="3">
        <v>5.8</v>
      </c>
      <c r="X2" s="3">
        <v>4.4000000000000004</v>
      </c>
      <c r="Y2" s="8">
        <f>SUM(W2:X2)</f>
        <v>10.199999999999999</v>
      </c>
      <c r="Z2" s="3">
        <v>13.2</v>
      </c>
      <c r="AA2" s="3">
        <v>8.02</v>
      </c>
      <c r="AB2" s="3">
        <v>7.99</v>
      </c>
      <c r="AC2" s="3">
        <v>18.3</v>
      </c>
      <c r="AD2" s="3">
        <v>28.9</v>
      </c>
      <c r="AE2" s="3">
        <v>0.35</v>
      </c>
      <c r="AF2" s="3">
        <v>0.44</v>
      </c>
      <c r="AG2" s="3">
        <v>0.09</v>
      </c>
      <c r="AH2" s="3">
        <v>0.04</v>
      </c>
      <c r="AI2" s="3">
        <v>2.0299999999999998</v>
      </c>
      <c r="AJ2" s="3">
        <v>0.11</v>
      </c>
      <c r="AK2" s="3">
        <v>0.06</v>
      </c>
      <c r="AL2" s="3">
        <v>0.03</v>
      </c>
      <c r="AM2" s="3">
        <v>12.24</v>
      </c>
      <c r="AN2" s="3">
        <v>0.01</v>
      </c>
      <c r="AO2" s="3">
        <v>0</v>
      </c>
      <c r="AP2" s="3">
        <v>18.25</v>
      </c>
      <c r="AQ2" s="3">
        <v>0.01</v>
      </c>
      <c r="AR2" s="3">
        <v>0.86</v>
      </c>
      <c r="AS2" s="3">
        <v>0.12</v>
      </c>
      <c r="AT2" s="3">
        <v>9.35</v>
      </c>
      <c r="AU2" s="3">
        <v>62.23</v>
      </c>
      <c r="AV2" s="3">
        <v>0.15</v>
      </c>
      <c r="AW2" s="3">
        <v>25.6</v>
      </c>
      <c r="AX2" s="3">
        <v>7.5</v>
      </c>
      <c r="AY2" s="3">
        <v>17.5</v>
      </c>
      <c r="AZ2" s="3">
        <v>19.27</v>
      </c>
      <c r="BA2" s="3">
        <v>134</v>
      </c>
      <c r="BB2" s="3">
        <v>7.84</v>
      </c>
      <c r="BC2" s="3">
        <v>0.28000000000000003</v>
      </c>
    </row>
    <row r="3" spans="1:55" x14ac:dyDescent="0.3">
      <c r="A3" s="3" t="s">
        <v>56</v>
      </c>
      <c r="B3" s="3" t="s">
        <v>57</v>
      </c>
      <c r="C3" s="3" t="s">
        <v>58</v>
      </c>
      <c r="D3" s="3">
        <v>2257</v>
      </c>
      <c r="E3" s="3">
        <v>1066</v>
      </c>
      <c r="F3" s="3">
        <v>13.3</v>
      </c>
      <c r="G3" s="3">
        <v>0.28000000000000003</v>
      </c>
      <c r="H3" s="3">
        <v>4050</v>
      </c>
      <c r="I3" s="3">
        <v>0.56999999999999995</v>
      </c>
      <c r="J3" s="3">
        <v>27.3</v>
      </c>
      <c r="K3" s="3">
        <v>266.91000000000003</v>
      </c>
      <c r="L3" s="3">
        <v>193.51</v>
      </c>
      <c r="M3" s="3">
        <v>136.97999999999999</v>
      </c>
      <c r="N3" s="3">
        <v>79.709999999999994</v>
      </c>
      <c r="O3" s="3">
        <v>10.6</v>
      </c>
      <c r="P3" s="3">
        <v>33.1</v>
      </c>
      <c r="Q3" s="3">
        <v>1.04</v>
      </c>
      <c r="R3" s="3">
        <v>16.399999999999999</v>
      </c>
      <c r="S3" s="3">
        <v>23.8</v>
      </c>
      <c r="T3" s="3">
        <v>28.9</v>
      </c>
      <c r="U3" s="3">
        <v>9.1</v>
      </c>
      <c r="V3" s="8">
        <f t="shared" si="0"/>
        <v>78.199999999999989</v>
      </c>
      <c r="W3" s="3">
        <v>4.7</v>
      </c>
      <c r="X3" s="3">
        <v>3.7</v>
      </c>
      <c r="Y3" s="8">
        <f t="shared" ref="Y3:Y64" si="1">SUM(W3:X3)</f>
        <v>8.4</v>
      </c>
      <c r="Z3" s="3">
        <v>11.7</v>
      </c>
      <c r="AA3" s="3">
        <v>8.4</v>
      </c>
      <c r="AB3" s="3">
        <v>8.06</v>
      </c>
      <c r="AC3" s="3">
        <v>14</v>
      </c>
      <c r="AD3" s="3">
        <v>22.5</v>
      </c>
      <c r="AE3" s="3">
        <v>0.27</v>
      </c>
      <c r="AF3" s="3">
        <v>0.32</v>
      </c>
      <c r="AG3" s="3">
        <v>0.05</v>
      </c>
      <c r="AH3" s="3">
        <v>0.03</v>
      </c>
      <c r="AI3" s="3">
        <v>2.0099999999999998</v>
      </c>
      <c r="AJ3" s="3">
        <v>0.09</v>
      </c>
      <c r="AK3" s="3">
        <v>0.05</v>
      </c>
      <c r="AL3" s="3">
        <v>0.03</v>
      </c>
      <c r="AM3" s="3">
        <v>7.64</v>
      </c>
      <c r="AN3" s="3">
        <v>0</v>
      </c>
      <c r="AO3" s="3">
        <v>0</v>
      </c>
      <c r="AP3" s="3">
        <v>28.48</v>
      </c>
      <c r="AQ3" s="3">
        <v>0</v>
      </c>
      <c r="AR3" s="3">
        <v>0.56999999999999995</v>
      </c>
      <c r="AS3" s="3">
        <v>0.12</v>
      </c>
      <c r="AT3" s="3">
        <v>9.9700000000000006</v>
      </c>
      <c r="AU3" s="3">
        <v>62.83</v>
      </c>
      <c r="AV3" s="3">
        <v>0.93</v>
      </c>
      <c r="AW3" s="3">
        <v>27.9</v>
      </c>
      <c r="AX3" s="3">
        <v>7.61</v>
      </c>
      <c r="AY3" s="3">
        <v>22.7</v>
      </c>
      <c r="AZ3" s="3">
        <v>20.27</v>
      </c>
      <c r="BA3" s="3">
        <v>66.3</v>
      </c>
      <c r="BB3" s="3">
        <v>7.33</v>
      </c>
      <c r="BC3" s="3">
        <v>0.24</v>
      </c>
    </row>
    <row r="4" spans="1:55" x14ac:dyDescent="0.3">
      <c r="A4" s="3" t="s">
        <v>59</v>
      </c>
      <c r="B4" s="3" t="s">
        <v>60</v>
      </c>
      <c r="C4" s="3" t="s">
        <v>61</v>
      </c>
      <c r="D4" s="3">
        <v>2512</v>
      </c>
      <c r="E4" s="3">
        <v>1386</v>
      </c>
      <c r="F4" s="3">
        <v>104.98</v>
      </c>
      <c r="G4" s="3">
        <v>0.56000000000000005</v>
      </c>
      <c r="H4" s="3">
        <v>3511</v>
      </c>
      <c r="I4" s="3">
        <v>1.88</v>
      </c>
      <c r="J4" s="3">
        <v>114.98</v>
      </c>
      <c r="K4" s="3">
        <v>249.61</v>
      </c>
      <c r="L4" s="3">
        <v>490.24</v>
      </c>
      <c r="M4" s="3">
        <v>130.94</v>
      </c>
      <c r="N4" s="3">
        <v>51.92</v>
      </c>
      <c r="O4" s="3">
        <v>42.28</v>
      </c>
      <c r="P4" s="3">
        <v>35.18</v>
      </c>
      <c r="Q4" s="3">
        <v>7.58</v>
      </c>
      <c r="R4" s="3">
        <v>61.3</v>
      </c>
      <c r="S4" s="3">
        <v>14.1</v>
      </c>
      <c r="T4" s="3">
        <v>6.3</v>
      </c>
      <c r="U4" s="3">
        <v>3.8</v>
      </c>
      <c r="V4" s="8">
        <f t="shared" si="0"/>
        <v>85.499999999999986</v>
      </c>
      <c r="W4" s="3">
        <v>4.2</v>
      </c>
      <c r="X4" s="3">
        <v>3.5</v>
      </c>
      <c r="Y4" s="8">
        <f t="shared" si="1"/>
        <v>7.7</v>
      </c>
      <c r="Z4" s="3">
        <v>5.4</v>
      </c>
      <c r="AA4" s="3">
        <v>8.1300000000000008</v>
      </c>
      <c r="AB4" s="3">
        <v>7.81</v>
      </c>
      <c r="AC4" s="3">
        <v>9.6999999999999993</v>
      </c>
      <c r="AD4" s="3">
        <v>28.8</v>
      </c>
      <c r="AE4" s="3">
        <v>0.35</v>
      </c>
      <c r="AF4" s="3">
        <v>0.8</v>
      </c>
      <c r="AG4" s="3">
        <v>0.45</v>
      </c>
      <c r="AH4" s="3">
        <v>0.1</v>
      </c>
      <c r="AI4" s="3">
        <v>1.54</v>
      </c>
      <c r="AJ4" s="3">
        <v>0.25</v>
      </c>
      <c r="AK4" s="3">
        <v>0.05</v>
      </c>
      <c r="AL4" s="3">
        <v>0.02</v>
      </c>
      <c r="AM4" s="3">
        <v>8.32</v>
      </c>
      <c r="AN4" s="3">
        <v>0.01</v>
      </c>
      <c r="AO4" s="3">
        <v>0</v>
      </c>
      <c r="AP4" s="3">
        <v>22.4</v>
      </c>
      <c r="AQ4" s="3">
        <v>0.01</v>
      </c>
      <c r="AR4" s="3">
        <v>0.78</v>
      </c>
      <c r="AS4" s="3">
        <v>0.46</v>
      </c>
      <c r="AT4" s="3">
        <v>17.91</v>
      </c>
      <c r="AU4" s="3">
        <v>86.03</v>
      </c>
      <c r="AV4" s="3">
        <v>0.22</v>
      </c>
      <c r="AW4" s="3">
        <v>39.5</v>
      </c>
      <c r="AX4" s="3">
        <v>11.64</v>
      </c>
      <c r="AY4" s="3">
        <v>33</v>
      </c>
      <c r="AZ4" s="3">
        <v>39.07</v>
      </c>
      <c r="BA4" s="3">
        <v>91.8</v>
      </c>
      <c r="BB4" s="3">
        <v>12.59</v>
      </c>
      <c r="BC4" s="3">
        <v>0.36</v>
      </c>
    </row>
    <row r="5" spans="1:55" x14ac:dyDescent="0.3">
      <c r="A5" s="3" t="s">
        <v>62</v>
      </c>
      <c r="B5" s="3" t="s">
        <v>63</v>
      </c>
      <c r="C5" s="3" t="s">
        <v>64</v>
      </c>
      <c r="D5" s="3">
        <v>4213</v>
      </c>
      <c r="E5" s="3">
        <v>1839</v>
      </c>
      <c r="F5" s="3">
        <v>407</v>
      </c>
      <c r="G5" s="3">
        <v>1.44</v>
      </c>
      <c r="H5" s="3">
        <v>3926</v>
      </c>
      <c r="I5" s="3">
        <v>0.9</v>
      </c>
      <c r="J5" s="3">
        <v>534.89</v>
      </c>
      <c r="K5" s="3">
        <v>404.39</v>
      </c>
      <c r="L5" s="3">
        <v>516.03</v>
      </c>
      <c r="M5" s="3">
        <v>186.96</v>
      </c>
      <c r="N5" s="3">
        <v>62.24</v>
      </c>
      <c r="O5" s="3">
        <v>21.3</v>
      </c>
      <c r="P5" s="3">
        <v>21.8</v>
      </c>
      <c r="Q5" s="3">
        <v>4.33</v>
      </c>
      <c r="R5" s="3">
        <v>43.7</v>
      </c>
      <c r="S5" s="3">
        <v>19.600000000000001</v>
      </c>
      <c r="T5" s="3">
        <v>11.9</v>
      </c>
      <c r="U5" s="3">
        <v>5.2</v>
      </c>
      <c r="V5" s="8">
        <f t="shared" si="0"/>
        <v>80.400000000000006</v>
      </c>
      <c r="W5" s="3">
        <v>5.4</v>
      </c>
      <c r="X5" s="3">
        <v>5.7</v>
      </c>
      <c r="Y5" s="8">
        <f t="shared" si="1"/>
        <v>11.100000000000001</v>
      </c>
      <c r="Z5" s="3">
        <v>6.9</v>
      </c>
      <c r="AA5" s="3">
        <v>8.18</v>
      </c>
      <c r="AB5" s="3">
        <v>7.81</v>
      </c>
      <c r="AC5" s="3">
        <v>10.1</v>
      </c>
      <c r="AD5" s="3">
        <v>34.299999999999997</v>
      </c>
      <c r="AE5" s="3">
        <v>0.41</v>
      </c>
      <c r="AF5" s="3">
        <v>0.79</v>
      </c>
      <c r="AG5" s="3">
        <v>0.38</v>
      </c>
      <c r="AH5" s="3">
        <v>0.09</v>
      </c>
      <c r="AI5" s="3">
        <v>1.87</v>
      </c>
      <c r="AJ5" s="3">
        <v>0.25</v>
      </c>
      <c r="AK5" s="3">
        <v>0.06</v>
      </c>
      <c r="AL5" s="3">
        <v>0.02</v>
      </c>
      <c r="AM5" s="3">
        <v>9.07</v>
      </c>
      <c r="AN5" s="3">
        <v>0.01</v>
      </c>
      <c r="AO5" s="3">
        <v>0</v>
      </c>
      <c r="AP5" s="3">
        <v>24.2</v>
      </c>
      <c r="AQ5" s="3">
        <v>0.01</v>
      </c>
      <c r="AR5" s="3">
        <v>1.08</v>
      </c>
      <c r="AS5" s="3">
        <v>0.41</v>
      </c>
      <c r="AT5" s="3">
        <v>17.71</v>
      </c>
      <c r="AU5" s="3">
        <v>71.430000000000007</v>
      </c>
      <c r="AV5" s="3">
        <v>7.0000000000000007E-2</v>
      </c>
      <c r="AW5" s="3">
        <v>35.5</v>
      </c>
      <c r="AX5" s="3">
        <v>11.93</v>
      </c>
      <c r="AY5" s="3">
        <v>25.2</v>
      </c>
      <c r="AZ5" s="3">
        <v>36.17</v>
      </c>
      <c r="BA5" s="3">
        <v>105</v>
      </c>
      <c r="BB5" s="3">
        <v>12.3</v>
      </c>
      <c r="BC5" s="3">
        <v>0.53</v>
      </c>
    </row>
    <row r="6" spans="1:55" x14ac:dyDescent="0.3">
      <c r="A6" s="3" t="s">
        <v>65</v>
      </c>
      <c r="B6" s="3" t="s">
        <v>66</v>
      </c>
      <c r="C6" s="3" t="s">
        <v>67</v>
      </c>
      <c r="D6" s="3">
        <v>2000</v>
      </c>
      <c r="E6" s="3">
        <v>946</v>
      </c>
      <c r="F6" s="3">
        <v>381.77</v>
      </c>
      <c r="G6" s="3">
        <v>0.15</v>
      </c>
      <c r="H6" s="3">
        <v>467</v>
      </c>
      <c r="I6" s="3">
        <v>0.16</v>
      </c>
      <c r="J6" s="3">
        <v>33.58</v>
      </c>
      <c r="K6" s="3">
        <v>158.79</v>
      </c>
      <c r="L6" s="3">
        <v>145.99</v>
      </c>
      <c r="M6" s="3">
        <v>8.09</v>
      </c>
      <c r="N6" s="3">
        <v>3.52</v>
      </c>
      <c r="O6" s="3">
        <v>23.29</v>
      </c>
      <c r="P6" s="3">
        <v>2.39</v>
      </c>
      <c r="Q6" s="3">
        <v>0.37</v>
      </c>
      <c r="R6" s="3">
        <v>5.3</v>
      </c>
      <c r="S6" s="3">
        <v>31.8</v>
      </c>
      <c r="T6" s="3">
        <v>49.1</v>
      </c>
      <c r="U6" s="3">
        <v>4.3</v>
      </c>
      <c r="V6" s="8">
        <f t="shared" si="0"/>
        <v>90.5</v>
      </c>
      <c r="W6" s="3">
        <v>3.1</v>
      </c>
      <c r="X6" s="3">
        <v>0.4</v>
      </c>
      <c r="Y6" s="8">
        <f t="shared" si="1"/>
        <v>3.5</v>
      </c>
      <c r="Z6" s="3">
        <v>4.5999999999999996</v>
      </c>
      <c r="AA6" s="3">
        <v>5.83</v>
      </c>
      <c r="AB6" s="3">
        <v>5.13</v>
      </c>
      <c r="AC6" s="3">
        <v>1.79</v>
      </c>
      <c r="AD6" s="3">
        <v>1.1100000000000001</v>
      </c>
      <c r="AE6" s="3">
        <v>0.01</v>
      </c>
      <c r="AF6" s="3">
        <v>0.19</v>
      </c>
      <c r="AG6" s="3">
        <v>0.18</v>
      </c>
      <c r="AH6" s="3">
        <v>0.02</v>
      </c>
      <c r="AI6" s="3">
        <v>0.15</v>
      </c>
      <c r="AJ6" s="3">
        <v>0.08</v>
      </c>
      <c r="AK6" s="3">
        <v>0.02</v>
      </c>
      <c r="AL6" s="3">
        <v>0</v>
      </c>
      <c r="AM6" s="3">
        <v>4.0199999999999996</v>
      </c>
      <c r="AN6" s="3">
        <v>0.14000000000000001</v>
      </c>
      <c r="AO6" s="3">
        <v>0</v>
      </c>
      <c r="AP6" s="3">
        <v>6.34</v>
      </c>
      <c r="AQ6" s="3">
        <v>0.14000000000000001</v>
      </c>
      <c r="AR6" s="3">
        <v>0</v>
      </c>
      <c r="AS6" s="3">
        <v>0.01</v>
      </c>
      <c r="AT6" s="3">
        <v>1.99</v>
      </c>
      <c r="AU6" s="3">
        <v>52.14</v>
      </c>
      <c r="AV6" s="3">
        <v>0</v>
      </c>
      <c r="AW6" s="3">
        <v>7.83</v>
      </c>
      <c r="AX6" s="3">
        <v>1.46</v>
      </c>
      <c r="AY6" s="3">
        <v>3.3</v>
      </c>
      <c r="AZ6" s="3">
        <v>1.43</v>
      </c>
      <c r="BA6" s="3">
        <v>7.48</v>
      </c>
      <c r="BB6" s="3">
        <v>0.88</v>
      </c>
      <c r="BC6" s="3">
        <v>0.01</v>
      </c>
    </row>
    <row r="7" spans="1:55" x14ac:dyDescent="0.3">
      <c r="A7" s="3" t="s">
        <v>68</v>
      </c>
      <c r="B7" s="3" t="s">
        <v>69</v>
      </c>
      <c r="C7" s="3" t="s">
        <v>70</v>
      </c>
      <c r="D7" s="3">
        <v>2161</v>
      </c>
      <c r="E7" s="3">
        <v>1128</v>
      </c>
      <c r="F7" s="3">
        <v>399.73</v>
      </c>
      <c r="G7" s="3">
        <v>0.1</v>
      </c>
      <c r="H7" s="3">
        <v>347</v>
      </c>
      <c r="I7" s="3">
        <v>7.0000000000000007E-2</v>
      </c>
      <c r="J7" s="3">
        <v>29.08</v>
      </c>
      <c r="K7" s="3">
        <v>113.69</v>
      </c>
      <c r="L7" s="3">
        <v>163.15</v>
      </c>
      <c r="M7" s="3">
        <v>3.6</v>
      </c>
      <c r="N7" s="3">
        <v>4.16</v>
      </c>
      <c r="O7" s="3">
        <v>21.9</v>
      </c>
      <c r="P7" s="3">
        <v>1.38</v>
      </c>
      <c r="Q7" s="3">
        <v>0.12</v>
      </c>
      <c r="R7" s="3">
        <v>3.5</v>
      </c>
      <c r="S7" s="3">
        <v>30.4</v>
      </c>
      <c r="T7" s="3">
        <v>51.1</v>
      </c>
      <c r="U7" s="3">
        <v>5.0999999999999996</v>
      </c>
      <c r="V7" s="8">
        <f t="shared" si="0"/>
        <v>90.1</v>
      </c>
      <c r="W7" s="3">
        <v>3.4</v>
      </c>
      <c r="X7" s="3">
        <v>0.5</v>
      </c>
      <c r="Y7" s="8">
        <f t="shared" si="1"/>
        <v>3.9</v>
      </c>
      <c r="Z7" s="3">
        <v>5</v>
      </c>
      <c r="AA7" s="3">
        <v>5.07</v>
      </c>
      <c r="AB7" s="3">
        <v>4.43</v>
      </c>
      <c r="AC7" s="3">
        <v>1.5</v>
      </c>
      <c r="AD7" s="3">
        <v>0.45</v>
      </c>
      <c r="AE7" s="3">
        <v>0.01</v>
      </c>
      <c r="AF7" s="3">
        <v>0.19</v>
      </c>
      <c r="AG7" s="3">
        <v>0.19</v>
      </c>
      <c r="AH7" s="3">
        <v>0.03</v>
      </c>
      <c r="AI7" s="3">
        <v>0.12</v>
      </c>
      <c r="AJ7" s="3">
        <v>0.09</v>
      </c>
      <c r="AK7" s="3">
        <v>0.02</v>
      </c>
      <c r="AL7" s="3">
        <v>0</v>
      </c>
      <c r="AM7" s="3">
        <v>3.72</v>
      </c>
      <c r="AN7" s="3">
        <v>0.32</v>
      </c>
      <c r="AO7" s="3">
        <v>0</v>
      </c>
      <c r="AP7" s="3">
        <v>6.17</v>
      </c>
      <c r="AQ7" s="3">
        <v>0.32</v>
      </c>
      <c r="AR7" s="3">
        <v>0.02</v>
      </c>
      <c r="AS7" s="3">
        <v>0.03</v>
      </c>
      <c r="AT7" s="3">
        <v>2.4700000000000002</v>
      </c>
      <c r="AU7" s="3">
        <v>49.03</v>
      </c>
      <c r="AV7" s="3">
        <v>0.09</v>
      </c>
      <c r="AW7" s="3">
        <v>7.1</v>
      </c>
      <c r="AX7" s="3">
        <v>1.53</v>
      </c>
      <c r="AY7" s="3">
        <v>2.8</v>
      </c>
      <c r="AZ7" s="3">
        <v>1.99</v>
      </c>
      <c r="BA7" s="3">
        <v>828</v>
      </c>
      <c r="BB7" s="3">
        <v>0.9</v>
      </c>
      <c r="BC7" s="3">
        <v>0.02</v>
      </c>
    </row>
    <row r="8" spans="1:55" x14ac:dyDescent="0.3">
      <c r="A8" s="3" t="s">
        <v>71</v>
      </c>
      <c r="B8" s="3" t="s">
        <v>72</v>
      </c>
      <c r="C8" s="3" t="s">
        <v>73</v>
      </c>
      <c r="D8" s="3">
        <v>2000</v>
      </c>
      <c r="E8" s="3">
        <v>951</v>
      </c>
      <c r="F8" s="3">
        <v>187.95</v>
      </c>
      <c r="G8" s="3">
        <v>0.27</v>
      </c>
      <c r="H8" s="3">
        <v>734</v>
      </c>
      <c r="I8" s="3">
        <v>0.33</v>
      </c>
      <c r="J8" s="3">
        <v>90.58</v>
      </c>
      <c r="K8" s="3">
        <v>107.79</v>
      </c>
      <c r="L8" s="3">
        <v>243.54</v>
      </c>
      <c r="M8" s="3">
        <v>67.98</v>
      </c>
      <c r="N8" s="3">
        <v>5.71</v>
      </c>
      <c r="O8" s="3">
        <v>90.29</v>
      </c>
      <c r="P8" s="3">
        <v>0.32</v>
      </c>
      <c r="Q8" s="3">
        <v>15.1</v>
      </c>
      <c r="R8" s="3">
        <v>2.6</v>
      </c>
      <c r="S8" s="3">
        <v>30.8</v>
      </c>
      <c r="T8" s="3">
        <v>52.2</v>
      </c>
      <c r="U8" s="3">
        <v>4.9000000000000004</v>
      </c>
      <c r="V8" s="8">
        <f t="shared" si="0"/>
        <v>90.5</v>
      </c>
      <c r="W8" s="3">
        <v>3.8</v>
      </c>
      <c r="X8" s="3">
        <v>0.5</v>
      </c>
      <c r="Y8" s="8">
        <f t="shared" si="1"/>
        <v>4.3</v>
      </c>
      <c r="Z8" s="3">
        <v>4</v>
      </c>
      <c r="AA8" s="3">
        <v>6.86</v>
      </c>
      <c r="AB8" s="3">
        <v>7.02</v>
      </c>
      <c r="AC8" s="3">
        <v>5.7</v>
      </c>
      <c r="AD8" s="3">
        <v>3.79</v>
      </c>
      <c r="AE8" s="3">
        <v>0.05</v>
      </c>
      <c r="AF8" s="3">
        <v>0.53</v>
      </c>
      <c r="AG8" s="3">
        <v>0.49</v>
      </c>
      <c r="AH8" s="3">
        <v>0.05</v>
      </c>
      <c r="AI8" s="3">
        <v>0.24</v>
      </c>
      <c r="AJ8" s="3">
        <v>0.1</v>
      </c>
      <c r="AK8" s="3">
        <v>0.02</v>
      </c>
      <c r="AL8" s="3">
        <v>0</v>
      </c>
      <c r="AM8" s="3">
        <v>3.46</v>
      </c>
      <c r="AN8" s="3">
        <v>0.04</v>
      </c>
      <c r="AO8" s="3">
        <v>0</v>
      </c>
      <c r="AP8" s="3">
        <v>10.41</v>
      </c>
      <c r="AQ8" s="3">
        <v>0.04</v>
      </c>
      <c r="AR8" s="3">
        <v>0</v>
      </c>
      <c r="AS8" s="3">
        <v>0.04</v>
      </c>
      <c r="AT8" s="3">
        <v>1.04</v>
      </c>
      <c r="AU8" s="3">
        <v>24.74</v>
      </c>
      <c r="AV8" s="3">
        <v>0.01</v>
      </c>
      <c r="AW8" s="3">
        <v>5.38</v>
      </c>
      <c r="AX8" s="3">
        <v>1.02</v>
      </c>
      <c r="AY8" s="3">
        <v>4.5999999999999996</v>
      </c>
      <c r="AZ8" s="3">
        <v>1.53</v>
      </c>
      <c r="BA8" s="3">
        <v>34.79</v>
      </c>
      <c r="BB8" s="3">
        <v>0.55000000000000004</v>
      </c>
      <c r="BC8" s="3">
        <v>0</v>
      </c>
    </row>
    <row r="9" spans="1:55" x14ac:dyDescent="0.3">
      <c r="A9" s="3" t="s">
        <v>74</v>
      </c>
      <c r="B9" s="3" t="s">
        <v>75</v>
      </c>
      <c r="C9" s="3" t="s">
        <v>76</v>
      </c>
      <c r="D9" s="3">
        <v>1892</v>
      </c>
      <c r="E9" s="3">
        <v>847</v>
      </c>
      <c r="F9" s="3">
        <v>112.93</v>
      </c>
      <c r="G9" s="3">
        <v>0.22</v>
      </c>
      <c r="H9" s="3">
        <v>1280</v>
      </c>
      <c r="I9" s="3">
        <v>0.15</v>
      </c>
      <c r="J9" s="3">
        <v>55.96</v>
      </c>
      <c r="K9" s="3">
        <v>105.36</v>
      </c>
      <c r="L9" s="3">
        <v>246.6</v>
      </c>
      <c r="M9" s="3">
        <v>76.849999999999994</v>
      </c>
      <c r="N9" s="3">
        <v>5.94</v>
      </c>
      <c r="O9" s="3">
        <v>90.18</v>
      </c>
      <c r="P9" s="3">
        <v>0</v>
      </c>
      <c r="Q9" s="3">
        <v>2.14</v>
      </c>
      <c r="R9" s="3">
        <v>3.8</v>
      </c>
      <c r="S9" s="3">
        <v>30.3</v>
      </c>
      <c r="T9" s="3">
        <v>50.3</v>
      </c>
      <c r="U9" s="3">
        <v>4.5999999999999996</v>
      </c>
      <c r="V9" s="8">
        <f t="shared" si="0"/>
        <v>89</v>
      </c>
      <c r="W9" s="3">
        <v>3.7</v>
      </c>
      <c r="X9" s="3">
        <v>0.7</v>
      </c>
      <c r="Y9" s="8">
        <f t="shared" si="1"/>
        <v>4.4000000000000004</v>
      </c>
      <c r="Z9" s="3">
        <v>5.4</v>
      </c>
      <c r="AA9" s="3">
        <v>7.83</v>
      </c>
      <c r="AB9" s="3">
        <v>8.08</v>
      </c>
      <c r="AC9" s="3">
        <v>8.6</v>
      </c>
      <c r="AD9" s="3">
        <v>3.11</v>
      </c>
      <c r="AE9" s="3">
        <v>0.04</v>
      </c>
      <c r="AF9" s="3">
        <v>0.34</v>
      </c>
      <c r="AG9" s="3">
        <v>0.31</v>
      </c>
      <c r="AH9" s="3">
        <v>0.03</v>
      </c>
      <c r="AI9" s="3">
        <v>0.42</v>
      </c>
      <c r="AJ9" s="3">
        <v>0.09</v>
      </c>
      <c r="AK9" s="3">
        <v>0.02</v>
      </c>
      <c r="AL9" s="3">
        <v>0</v>
      </c>
      <c r="AM9" s="3">
        <v>3.41</v>
      </c>
      <c r="AN9" s="3">
        <v>0</v>
      </c>
      <c r="AO9" s="3">
        <v>0</v>
      </c>
      <c r="AP9" s="3">
        <v>15.67</v>
      </c>
      <c r="AQ9" s="3">
        <v>0</v>
      </c>
      <c r="AR9" s="3">
        <v>0</v>
      </c>
      <c r="AS9" s="3">
        <v>0</v>
      </c>
      <c r="AT9" s="3">
        <v>0.95</v>
      </c>
      <c r="AU9" s="3">
        <v>31.03</v>
      </c>
      <c r="AV9" s="3">
        <v>1.29</v>
      </c>
      <c r="AW9" s="3">
        <v>5.88</v>
      </c>
      <c r="AX9" s="3">
        <v>1.18</v>
      </c>
      <c r="AY9" s="3">
        <v>2.64</v>
      </c>
      <c r="AZ9" s="3">
        <v>0.96</v>
      </c>
      <c r="BA9" s="3">
        <v>3.64</v>
      </c>
      <c r="BB9" s="3">
        <v>0.6</v>
      </c>
      <c r="BC9" s="3">
        <v>0.01</v>
      </c>
    </row>
    <row r="10" spans="1:55" x14ac:dyDescent="0.3">
      <c r="A10" s="3" t="s">
        <v>77</v>
      </c>
      <c r="B10" s="3" t="s">
        <v>78</v>
      </c>
      <c r="C10" s="3" t="s">
        <v>79</v>
      </c>
      <c r="D10" s="3">
        <v>2012</v>
      </c>
      <c r="E10" s="3">
        <v>893</v>
      </c>
      <c r="F10" s="3">
        <v>178.94</v>
      </c>
      <c r="G10" s="3">
        <v>0.14000000000000001</v>
      </c>
      <c r="H10" s="3">
        <v>476</v>
      </c>
      <c r="I10" s="3">
        <v>0.34</v>
      </c>
      <c r="J10" s="3">
        <v>48.28</v>
      </c>
      <c r="K10" s="3">
        <v>46.43</v>
      </c>
      <c r="L10" s="3">
        <v>68.77</v>
      </c>
      <c r="M10" s="3">
        <v>11.8</v>
      </c>
      <c r="N10" s="3">
        <v>3.1</v>
      </c>
      <c r="O10" s="3">
        <v>6.19</v>
      </c>
      <c r="P10" s="3">
        <v>0.53</v>
      </c>
      <c r="Q10" s="3">
        <v>0.11</v>
      </c>
      <c r="R10" s="3">
        <v>0.1</v>
      </c>
      <c r="S10" s="3">
        <v>31.3</v>
      </c>
      <c r="T10" s="3">
        <v>53.3</v>
      </c>
      <c r="U10" s="3">
        <v>8</v>
      </c>
      <c r="V10" s="8">
        <f t="shared" si="0"/>
        <v>92.7</v>
      </c>
      <c r="W10" s="3">
        <v>3.2</v>
      </c>
      <c r="X10" s="3">
        <v>1.3</v>
      </c>
      <c r="Y10" s="8">
        <f t="shared" si="1"/>
        <v>4.5</v>
      </c>
      <c r="Z10" s="3">
        <v>1.8</v>
      </c>
      <c r="AA10" s="3">
        <v>6.03</v>
      </c>
      <c r="AB10" s="3">
        <v>6.3</v>
      </c>
      <c r="AC10" s="3">
        <v>2.2000000000000002</v>
      </c>
      <c r="AD10" s="3">
        <v>4.4400000000000004</v>
      </c>
      <c r="AE10" s="3">
        <v>0.05</v>
      </c>
      <c r="AF10" s="3">
        <v>0.6</v>
      </c>
      <c r="AG10" s="3">
        <v>0.55000000000000004</v>
      </c>
      <c r="AH10" s="3">
        <v>0.05</v>
      </c>
      <c r="AI10" s="3">
        <v>0.15</v>
      </c>
      <c r="AJ10" s="3">
        <v>0.04</v>
      </c>
      <c r="AK10" s="3">
        <v>0.01</v>
      </c>
      <c r="AL10" s="3">
        <v>0</v>
      </c>
      <c r="AM10" s="3">
        <v>0.54</v>
      </c>
      <c r="AN10" s="3">
        <v>0.04</v>
      </c>
      <c r="AO10" s="3">
        <v>0</v>
      </c>
      <c r="AP10" s="3">
        <v>37.659999999999997</v>
      </c>
      <c r="AQ10" s="3">
        <v>0.04</v>
      </c>
      <c r="AR10" s="3">
        <v>0</v>
      </c>
      <c r="AS10" s="3">
        <v>0.31</v>
      </c>
      <c r="AT10" s="3">
        <v>1.22</v>
      </c>
      <c r="AU10" s="3">
        <v>4.8600000000000003</v>
      </c>
      <c r="AV10" s="3">
        <v>0.06</v>
      </c>
      <c r="AW10" s="3">
        <v>2.83</v>
      </c>
      <c r="AX10" s="3">
        <v>0.36</v>
      </c>
      <c r="AY10" s="3">
        <v>11.5</v>
      </c>
      <c r="AZ10" s="3">
        <v>1.04</v>
      </c>
      <c r="BA10" s="3">
        <v>-0.62</v>
      </c>
      <c r="BB10" s="3">
        <v>0.44</v>
      </c>
      <c r="BC10" s="3">
        <v>0.01</v>
      </c>
    </row>
    <row r="11" spans="1:55" x14ac:dyDescent="0.3">
      <c r="A11" s="3" t="s">
        <v>80</v>
      </c>
      <c r="B11" s="3" t="s">
        <v>81</v>
      </c>
      <c r="C11" s="3" t="s">
        <v>82</v>
      </c>
      <c r="D11" s="3">
        <v>2008</v>
      </c>
      <c r="E11" s="3">
        <v>871</v>
      </c>
      <c r="F11" s="3">
        <v>154.97</v>
      </c>
      <c r="G11" s="3">
        <v>0.14000000000000001</v>
      </c>
      <c r="H11" s="3">
        <v>280</v>
      </c>
      <c r="I11" s="3">
        <v>0.13</v>
      </c>
      <c r="J11" s="3">
        <v>60.49</v>
      </c>
      <c r="K11" s="3">
        <v>38.119999999999997</v>
      </c>
      <c r="L11" s="3">
        <v>44.41</v>
      </c>
      <c r="M11" s="3">
        <v>2.68</v>
      </c>
      <c r="N11" s="3">
        <v>3.29</v>
      </c>
      <c r="O11" s="3">
        <v>3.59</v>
      </c>
      <c r="P11" s="3">
        <v>0</v>
      </c>
      <c r="Q11" s="3">
        <v>0</v>
      </c>
      <c r="R11" s="3">
        <v>0.3</v>
      </c>
      <c r="S11" s="3">
        <v>34.700000000000003</v>
      </c>
      <c r="T11" s="3">
        <v>51.4</v>
      </c>
      <c r="U11" s="3">
        <v>6.8</v>
      </c>
      <c r="V11" s="8">
        <f t="shared" si="0"/>
        <v>93.2</v>
      </c>
      <c r="W11" s="3">
        <v>3.2</v>
      </c>
      <c r="X11" s="3">
        <v>0.2</v>
      </c>
      <c r="Y11" s="8">
        <f t="shared" si="1"/>
        <v>3.4000000000000004</v>
      </c>
      <c r="Z11" s="3">
        <v>1.7</v>
      </c>
      <c r="AA11" s="3">
        <v>5.76</v>
      </c>
      <c r="AB11" s="3">
        <v>5.64</v>
      </c>
      <c r="AC11" s="3">
        <v>1.3</v>
      </c>
      <c r="AD11" s="3">
        <v>3.56</v>
      </c>
      <c r="AE11" s="3">
        <v>0.04</v>
      </c>
      <c r="AF11" s="3">
        <v>0.3</v>
      </c>
      <c r="AG11" s="3">
        <v>0.26</v>
      </c>
      <c r="AH11" s="3">
        <v>0.02</v>
      </c>
      <c r="AI11" s="3">
        <v>7.0000000000000007E-2</v>
      </c>
      <c r="AJ11" s="3">
        <v>0.03</v>
      </c>
      <c r="AK11" s="3">
        <v>0.01</v>
      </c>
      <c r="AL11" s="3">
        <v>0</v>
      </c>
      <c r="AM11" s="3">
        <v>1.33</v>
      </c>
      <c r="AN11" s="3">
        <v>7.0000000000000007E-2</v>
      </c>
      <c r="AO11" s="3">
        <v>0</v>
      </c>
      <c r="AP11" s="3">
        <v>8.52</v>
      </c>
      <c r="AQ11" s="3">
        <v>7.0000000000000007E-2</v>
      </c>
      <c r="AR11" s="3">
        <v>0</v>
      </c>
      <c r="AS11" s="3">
        <v>0.03</v>
      </c>
      <c r="AT11" s="3">
        <v>1.18</v>
      </c>
      <c r="AU11" s="3">
        <v>4.5599999999999996</v>
      </c>
      <c r="AV11" s="3">
        <v>0.67</v>
      </c>
      <c r="AW11" s="3">
        <v>2.65</v>
      </c>
      <c r="AX11" s="3">
        <v>0.39</v>
      </c>
      <c r="AY11" s="3">
        <v>1.41</v>
      </c>
      <c r="AZ11" s="3">
        <v>1.92</v>
      </c>
      <c r="BA11" s="3">
        <v>55.1</v>
      </c>
      <c r="BB11" s="3">
        <v>0.31</v>
      </c>
      <c r="BC11" s="3">
        <v>0.02</v>
      </c>
    </row>
    <row r="12" spans="1:55" x14ac:dyDescent="0.3">
      <c r="A12" s="3" t="s">
        <v>83</v>
      </c>
      <c r="B12" s="3" t="s">
        <v>84</v>
      </c>
      <c r="C12" s="3" t="s">
        <v>85</v>
      </c>
      <c r="D12" s="3">
        <v>2244</v>
      </c>
      <c r="E12" s="3">
        <v>1056</v>
      </c>
      <c r="F12" s="3">
        <v>302.87</v>
      </c>
      <c r="G12" s="3">
        <v>0.1</v>
      </c>
      <c r="H12" s="3">
        <v>697</v>
      </c>
      <c r="I12" s="3">
        <v>0.25</v>
      </c>
      <c r="J12" s="3">
        <v>43.68</v>
      </c>
      <c r="K12" s="3">
        <v>70.400000000000006</v>
      </c>
      <c r="L12" s="3">
        <v>129.85</v>
      </c>
      <c r="M12" s="3">
        <v>27.59</v>
      </c>
      <c r="N12" s="3">
        <v>3.21</v>
      </c>
      <c r="O12" s="3">
        <v>5.57</v>
      </c>
      <c r="P12" s="3">
        <v>0.32</v>
      </c>
      <c r="Q12" s="3">
        <v>0.28000000000000003</v>
      </c>
      <c r="R12" s="3">
        <v>0.5</v>
      </c>
      <c r="S12" s="3">
        <v>32.6</v>
      </c>
      <c r="T12" s="3">
        <v>52.4</v>
      </c>
      <c r="U12" s="3">
        <v>6.9</v>
      </c>
      <c r="V12" s="8">
        <f t="shared" si="0"/>
        <v>92.4</v>
      </c>
      <c r="W12" s="3">
        <v>3.5</v>
      </c>
      <c r="X12" s="3">
        <v>0.5</v>
      </c>
      <c r="Y12" s="8">
        <f t="shared" si="1"/>
        <v>4</v>
      </c>
      <c r="Z12" s="3">
        <v>1.9</v>
      </c>
      <c r="AA12" s="3">
        <v>5.48</v>
      </c>
      <c r="AB12" s="3">
        <v>5.21</v>
      </c>
      <c r="AC12" s="3">
        <v>1.6</v>
      </c>
      <c r="AD12" s="3">
        <v>1.34</v>
      </c>
      <c r="AE12" s="3">
        <v>0.02</v>
      </c>
      <c r="AF12" s="3">
        <v>0.72</v>
      </c>
      <c r="AG12" s="3">
        <v>0.7</v>
      </c>
      <c r="AH12" s="3">
        <v>0.06</v>
      </c>
      <c r="AI12" s="3">
        <v>0.2</v>
      </c>
      <c r="AJ12" s="3">
        <v>7.0000000000000007E-2</v>
      </c>
      <c r="AK12" s="3">
        <v>0.01</v>
      </c>
      <c r="AL12" s="3">
        <v>0</v>
      </c>
      <c r="AM12" s="3">
        <v>1.98</v>
      </c>
      <c r="AN12" s="3">
        <v>0.05</v>
      </c>
      <c r="AO12" s="3">
        <v>0</v>
      </c>
      <c r="AP12" s="3">
        <v>14.58</v>
      </c>
      <c r="AQ12" s="3">
        <v>0.05</v>
      </c>
      <c r="AR12" s="3">
        <v>0</v>
      </c>
      <c r="AS12" s="3">
        <v>0.02</v>
      </c>
      <c r="AT12" s="3">
        <v>0.98</v>
      </c>
      <c r="AU12" s="3">
        <v>7.78</v>
      </c>
      <c r="AV12" s="3">
        <v>0.27</v>
      </c>
      <c r="AW12" s="3">
        <v>3.26</v>
      </c>
      <c r="AX12" s="3">
        <v>0.67</v>
      </c>
      <c r="AY12" s="3">
        <v>4.58</v>
      </c>
      <c r="AZ12" s="3">
        <v>1.94</v>
      </c>
      <c r="BA12" s="3">
        <v>169</v>
      </c>
      <c r="BB12" s="3">
        <v>0.3</v>
      </c>
      <c r="BC12" s="3">
        <v>0.01</v>
      </c>
    </row>
    <row r="13" spans="1:55" x14ac:dyDescent="0.3">
      <c r="A13" s="3" t="s">
        <v>86</v>
      </c>
      <c r="B13" s="3" t="s">
        <v>87</v>
      </c>
      <c r="C13" s="3" t="s">
        <v>88</v>
      </c>
      <c r="D13" s="3">
        <v>2095</v>
      </c>
      <c r="E13" s="3">
        <v>948</v>
      </c>
      <c r="F13" s="3">
        <v>240.87</v>
      </c>
      <c r="G13" s="3">
        <v>0.05</v>
      </c>
      <c r="H13" s="3">
        <v>219</v>
      </c>
      <c r="I13" s="3">
        <v>0.09</v>
      </c>
      <c r="J13" s="3">
        <v>28.29</v>
      </c>
      <c r="K13" s="3">
        <v>23.92</v>
      </c>
      <c r="L13" s="3">
        <v>91.92</v>
      </c>
      <c r="M13" s="3">
        <v>12.89</v>
      </c>
      <c r="N13" s="3">
        <v>6.12</v>
      </c>
      <c r="O13" s="3">
        <v>1.58</v>
      </c>
      <c r="P13" s="3">
        <v>0</v>
      </c>
      <c r="Q13" s="3">
        <v>0.75</v>
      </c>
      <c r="R13" s="3">
        <v>1.4</v>
      </c>
      <c r="S13" s="3">
        <v>36.799999999999997</v>
      </c>
      <c r="T13" s="3">
        <v>48.7</v>
      </c>
      <c r="U13" s="3">
        <v>6.2</v>
      </c>
      <c r="V13" s="8">
        <f t="shared" si="0"/>
        <v>93.100000000000009</v>
      </c>
      <c r="W13" s="3">
        <v>3.3</v>
      </c>
      <c r="X13" s="3">
        <v>0</v>
      </c>
      <c r="Y13" s="8">
        <f t="shared" si="1"/>
        <v>3.3</v>
      </c>
      <c r="Z13" s="3">
        <v>2</v>
      </c>
      <c r="AA13" s="3">
        <v>7.56</v>
      </c>
      <c r="AB13" s="3">
        <v>7.79</v>
      </c>
      <c r="AC13" s="3">
        <v>1.2</v>
      </c>
      <c r="AD13" s="3">
        <v>1.56</v>
      </c>
      <c r="AE13" s="3">
        <v>0.02</v>
      </c>
      <c r="AF13" s="3">
        <v>0.23</v>
      </c>
      <c r="AG13" s="3">
        <v>0.21</v>
      </c>
      <c r="AH13" s="3">
        <v>0.02</v>
      </c>
      <c r="AI13" s="3">
        <v>0.08</v>
      </c>
      <c r="AJ13" s="3">
        <v>0.06</v>
      </c>
      <c r="AK13" s="3">
        <v>0.01</v>
      </c>
      <c r="AL13" s="3">
        <v>0</v>
      </c>
      <c r="AM13" s="3">
        <v>1.54</v>
      </c>
      <c r="AN13" s="3">
        <v>0.13</v>
      </c>
      <c r="AO13" s="3">
        <v>0</v>
      </c>
      <c r="AP13" s="3">
        <v>9.17</v>
      </c>
      <c r="AQ13" s="3">
        <v>0.13</v>
      </c>
      <c r="AR13" s="3">
        <v>0</v>
      </c>
      <c r="AS13" s="3">
        <v>0.01</v>
      </c>
      <c r="AT13" s="3">
        <v>0.99</v>
      </c>
      <c r="AU13" s="3">
        <v>9.1300000000000008</v>
      </c>
      <c r="AV13" s="3">
        <v>2.6</v>
      </c>
      <c r="AW13" s="3">
        <v>3.55</v>
      </c>
      <c r="AX13" s="3">
        <v>0.81</v>
      </c>
      <c r="AY13" s="3">
        <v>1.8</v>
      </c>
      <c r="AZ13" s="3">
        <v>2.33</v>
      </c>
      <c r="BA13" s="3">
        <v>26.2</v>
      </c>
      <c r="BB13" s="3">
        <v>0.28999999999999998</v>
      </c>
      <c r="BC13" s="3">
        <v>0.02</v>
      </c>
    </row>
    <row r="14" spans="1:55" x14ac:dyDescent="0.3">
      <c r="A14" s="3" t="s">
        <v>89</v>
      </c>
      <c r="B14" s="3" t="s">
        <v>90</v>
      </c>
      <c r="C14" s="3" t="s">
        <v>91</v>
      </c>
      <c r="D14" s="3">
        <v>2047</v>
      </c>
      <c r="E14" s="3">
        <v>1004</v>
      </c>
      <c r="F14" s="3">
        <v>198.9</v>
      </c>
      <c r="G14" s="3">
        <v>0.21</v>
      </c>
      <c r="H14" s="3">
        <v>1476</v>
      </c>
      <c r="I14" s="3">
        <v>0.79</v>
      </c>
      <c r="J14" s="3">
        <v>41.48</v>
      </c>
      <c r="K14" s="3">
        <v>183.8</v>
      </c>
      <c r="L14" s="3">
        <v>131.53</v>
      </c>
      <c r="M14" s="3">
        <v>81.36</v>
      </c>
      <c r="N14" s="3">
        <v>9.61</v>
      </c>
      <c r="O14" s="3">
        <v>14.4</v>
      </c>
      <c r="P14" s="3">
        <v>1.61</v>
      </c>
      <c r="Q14" s="3">
        <v>6.54</v>
      </c>
      <c r="R14" s="3">
        <v>13.8</v>
      </c>
      <c r="S14" s="3">
        <v>26.9</v>
      </c>
      <c r="T14" s="3">
        <v>34.1</v>
      </c>
      <c r="U14" s="3">
        <v>10.6</v>
      </c>
      <c r="V14" s="8">
        <f t="shared" si="0"/>
        <v>85.4</v>
      </c>
      <c r="W14" s="3">
        <v>5.9</v>
      </c>
      <c r="X14" s="3">
        <v>2.5</v>
      </c>
      <c r="Y14" s="8">
        <f t="shared" si="1"/>
        <v>8.4</v>
      </c>
      <c r="Z14" s="3">
        <v>4.8</v>
      </c>
      <c r="AA14" s="3">
        <v>5.86</v>
      </c>
      <c r="AB14" s="3">
        <v>5.92</v>
      </c>
      <c r="AC14" s="3">
        <v>9.6</v>
      </c>
      <c r="AD14" s="3">
        <v>4.46</v>
      </c>
      <c r="AE14" s="3">
        <v>0.05</v>
      </c>
      <c r="AF14" s="3">
        <v>0.47</v>
      </c>
      <c r="AG14" s="3">
        <v>0.42</v>
      </c>
      <c r="AH14" s="3">
        <v>0.05</v>
      </c>
      <c r="AI14" s="3">
        <v>0.45</v>
      </c>
      <c r="AJ14" s="3">
        <v>0.06</v>
      </c>
      <c r="AK14" s="3">
        <v>0.03</v>
      </c>
      <c r="AL14" s="3">
        <v>0</v>
      </c>
      <c r="AM14" s="3">
        <v>3.02</v>
      </c>
      <c r="AN14" s="3">
        <v>0.02</v>
      </c>
      <c r="AO14" s="3">
        <v>0</v>
      </c>
      <c r="AP14" s="3">
        <v>17.87</v>
      </c>
      <c r="AQ14" s="3">
        <v>0.02</v>
      </c>
      <c r="AR14" s="3">
        <v>0.04</v>
      </c>
      <c r="AS14" s="3">
        <v>0.01</v>
      </c>
      <c r="AT14" s="3">
        <v>2.16</v>
      </c>
      <c r="AU14" s="3">
        <v>6.65</v>
      </c>
      <c r="AV14" s="3">
        <v>0.42</v>
      </c>
      <c r="AW14" s="3">
        <v>4.41</v>
      </c>
      <c r="AX14" s="3">
        <v>2.0499999999999998</v>
      </c>
      <c r="AY14" s="3">
        <v>2.92</v>
      </c>
      <c r="AZ14" s="3">
        <v>3.16</v>
      </c>
      <c r="BA14" s="3">
        <v>20.2</v>
      </c>
      <c r="BB14" s="3">
        <v>0.59</v>
      </c>
      <c r="BC14" s="3">
        <v>0.02</v>
      </c>
    </row>
    <row r="15" spans="1:55" x14ac:dyDescent="0.3">
      <c r="A15" s="3" t="s">
        <v>92</v>
      </c>
      <c r="B15" s="3" t="s">
        <v>93</v>
      </c>
      <c r="C15" s="3" t="s">
        <v>94</v>
      </c>
      <c r="D15" s="3">
        <v>2109</v>
      </c>
      <c r="E15" s="3">
        <v>903</v>
      </c>
      <c r="F15" s="3">
        <v>203.93</v>
      </c>
      <c r="G15" s="3">
        <v>0.11</v>
      </c>
      <c r="H15" s="3">
        <v>446</v>
      </c>
      <c r="I15" s="3">
        <v>0.32</v>
      </c>
      <c r="J15" s="3">
        <v>57.58</v>
      </c>
      <c r="K15" s="3">
        <v>59.24</v>
      </c>
      <c r="L15" s="3">
        <v>155.07</v>
      </c>
      <c r="M15" s="3">
        <v>61.38</v>
      </c>
      <c r="N15" s="3">
        <v>13.05</v>
      </c>
      <c r="O15" s="3">
        <v>3.16</v>
      </c>
      <c r="P15" s="3">
        <v>0</v>
      </c>
      <c r="Q15" s="3">
        <v>0.2</v>
      </c>
      <c r="R15" s="3">
        <v>13.4</v>
      </c>
      <c r="S15" s="3">
        <v>30.3</v>
      </c>
      <c r="T15" s="3">
        <v>35.700000000000003</v>
      </c>
      <c r="U15" s="3">
        <v>9.6999999999999993</v>
      </c>
      <c r="V15" s="8">
        <f t="shared" si="0"/>
        <v>89.100000000000009</v>
      </c>
      <c r="W15" s="3">
        <v>4.9000000000000004</v>
      </c>
      <c r="X15" s="3">
        <v>0.8</v>
      </c>
      <c r="Y15" s="8">
        <f t="shared" si="1"/>
        <v>5.7</v>
      </c>
      <c r="Z15" s="3">
        <v>3.4</v>
      </c>
      <c r="AA15" s="3">
        <v>6.26</v>
      </c>
      <c r="AB15" s="3">
        <v>6.3</v>
      </c>
      <c r="AC15" s="3">
        <v>1.6</v>
      </c>
      <c r="AD15" s="3">
        <v>1.42</v>
      </c>
      <c r="AE15" s="3">
        <v>0.02</v>
      </c>
      <c r="AF15" s="3">
        <v>0.34</v>
      </c>
      <c r="AG15" s="3">
        <v>0.32</v>
      </c>
      <c r="AH15" s="3">
        <v>0.03</v>
      </c>
      <c r="AI15" s="3">
        <v>0.15</v>
      </c>
      <c r="AJ15" s="3">
        <v>0.08</v>
      </c>
      <c r="AK15" s="3">
        <v>0.01</v>
      </c>
      <c r="AL15" s="3">
        <v>0.01</v>
      </c>
      <c r="AM15" s="3">
        <v>3.42</v>
      </c>
      <c r="AN15" s="3">
        <v>0.06</v>
      </c>
      <c r="AO15" s="3">
        <v>0</v>
      </c>
      <c r="AP15" s="3">
        <v>7.2</v>
      </c>
      <c r="AQ15" s="3">
        <v>0.06</v>
      </c>
      <c r="AR15" s="3">
        <v>0</v>
      </c>
      <c r="AS15" s="3">
        <v>0.04</v>
      </c>
      <c r="AT15" s="3">
        <v>1.66</v>
      </c>
      <c r="AU15" s="3">
        <v>6.13</v>
      </c>
      <c r="AV15" s="3">
        <v>0.02</v>
      </c>
      <c r="AW15" s="3">
        <v>3.03</v>
      </c>
      <c r="AX15" s="3">
        <v>1.45</v>
      </c>
      <c r="AY15" s="3">
        <v>3.62</v>
      </c>
      <c r="AZ15" s="3">
        <v>2.41</v>
      </c>
      <c r="BA15" s="3">
        <v>12.2</v>
      </c>
      <c r="BB15" s="3">
        <v>0.56999999999999995</v>
      </c>
      <c r="BC15" s="3">
        <v>0.01</v>
      </c>
    </row>
    <row r="16" spans="1:55" x14ac:dyDescent="0.3">
      <c r="A16" s="3" t="s">
        <v>95</v>
      </c>
      <c r="B16" s="3" t="s">
        <v>96</v>
      </c>
      <c r="C16" s="3" t="s">
        <v>97</v>
      </c>
      <c r="D16" s="3">
        <v>2177</v>
      </c>
      <c r="E16" s="3">
        <v>908</v>
      </c>
      <c r="F16" s="3">
        <v>162.97</v>
      </c>
      <c r="G16" s="3">
        <v>0.08</v>
      </c>
      <c r="H16" s="3">
        <v>364</v>
      </c>
      <c r="I16" s="3">
        <v>0.22</v>
      </c>
      <c r="J16" s="3">
        <v>52.39</v>
      </c>
      <c r="K16" s="3">
        <v>31.37</v>
      </c>
      <c r="L16" s="3">
        <v>151.36000000000001</v>
      </c>
      <c r="M16" s="3">
        <v>66.89</v>
      </c>
      <c r="N16" s="3">
        <v>67.83</v>
      </c>
      <c r="O16" s="3">
        <v>1.1599999999999999</v>
      </c>
      <c r="P16" s="3">
        <v>0</v>
      </c>
      <c r="Q16" s="3">
        <v>0.26</v>
      </c>
      <c r="R16" s="3">
        <v>7.9</v>
      </c>
      <c r="S16" s="3">
        <v>26.3</v>
      </c>
      <c r="T16" s="3">
        <v>41.7</v>
      </c>
      <c r="U16" s="3">
        <v>12.9</v>
      </c>
      <c r="V16" s="8">
        <f t="shared" si="0"/>
        <v>88.800000000000011</v>
      </c>
      <c r="W16" s="3">
        <v>5</v>
      </c>
      <c r="X16" s="3">
        <v>0.7</v>
      </c>
      <c r="Y16" s="8">
        <f t="shared" si="1"/>
        <v>5.7</v>
      </c>
      <c r="Z16" s="3">
        <v>3.4</v>
      </c>
      <c r="AA16" s="3">
        <v>7.81</v>
      </c>
      <c r="AB16" s="3">
        <v>7.77</v>
      </c>
      <c r="AC16" s="3">
        <v>2.9</v>
      </c>
      <c r="AD16" s="3">
        <v>3.84</v>
      </c>
      <c r="AE16" s="3">
        <v>0.05</v>
      </c>
      <c r="AF16" s="3">
        <v>0.19</v>
      </c>
      <c r="AG16" s="3">
        <v>0.14000000000000001</v>
      </c>
      <c r="AH16" s="3">
        <v>0.02</v>
      </c>
      <c r="AI16" s="3">
        <v>0.13</v>
      </c>
      <c r="AJ16" s="3">
        <v>0.09</v>
      </c>
      <c r="AK16" s="3">
        <v>0.01</v>
      </c>
      <c r="AL16" s="3">
        <v>0.03</v>
      </c>
      <c r="AM16" s="3">
        <v>4.5999999999999996</v>
      </c>
      <c r="AN16" s="3">
        <v>0.05</v>
      </c>
      <c r="AO16" s="3">
        <v>0</v>
      </c>
      <c r="AP16" s="3">
        <v>5.6</v>
      </c>
      <c r="AQ16" s="3">
        <v>0.05</v>
      </c>
      <c r="AR16" s="3">
        <v>0</v>
      </c>
      <c r="AS16" s="3">
        <v>0</v>
      </c>
      <c r="AT16" s="3">
        <v>1.91</v>
      </c>
      <c r="AU16" s="3">
        <v>7.37</v>
      </c>
      <c r="AV16" s="3">
        <v>0</v>
      </c>
      <c r="AW16" s="3">
        <v>3.64</v>
      </c>
      <c r="AX16" s="3">
        <v>1.97</v>
      </c>
      <c r="AY16" s="3">
        <v>2.68</v>
      </c>
      <c r="AZ16" s="3">
        <v>1.6</v>
      </c>
      <c r="BA16" s="3">
        <v>16.899999999999999</v>
      </c>
      <c r="BB16" s="3">
        <v>0.74</v>
      </c>
      <c r="BC16" s="3">
        <v>0.01</v>
      </c>
    </row>
    <row r="17" spans="1:55" x14ac:dyDescent="0.3">
      <c r="A17" s="3" t="s">
        <v>98</v>
      </c>
      <c r="B17" s="3" t="s">
        <v>99</v>
      </c>
      <c r="C17" s="3" t="s">
        <v>100</v>
      </c>
      <c r="D17" s="3">
        <v>1935</v>
      </c>
      <c r="E17" s="3">
        <v>1056</v>
      </c>
      <c r="F17" s="3">
        <v>8.43</v>
      </c>
      <c r="G17" s="3">
        <v>0.15</v>
      </c>
      <c r="H17" s="3">
        <v>21502</v>
      </c>
      <c r="I17" s="3">
        <v>0.42</v>
      </c>
      <c r="J17" s="3">
        <v>5.3</v>
      </c>
      <c r="K17" s="3">
        <v>154.87</v>
      </c>
      <c r="L17" s="3">
        <v>273.8</v>
      </c>
      <c r="M17" s="3">
        <v>41.88</v>
      </c>
      <c r="N17" s="3">
        <v>10.11</v>
      </c>
      <c r="O17" s="3">
        <v>1.4</v>
      </c>
      <c r="P17" s="3">
        <v>6.01</v>
      </c>
      <c r="Q17" s="3">
        <v>0.19</v>
      </c>
      <c r="R17" s="3">
        <v>4.5999999999999996</v>
      </c>
      <c r="S17" s="3">
        <v>14.1</v>
      </c>
      <c r="T17" s="3">
        <v>40.4</v>
      </c>
      <c r="U17" s="3">
        <v>8.6</v>
      </c>
      <c r="V17" s="8">
        <f t="shared" si="0"/>
        <v>67.699999999999989</v>
      </c>
      <c r="W17" s="3">
        <v>5.6</v>
      </c>
      <c r="X17" s="3">
        <v>7.7</v>
      </c>
      <c r="Y17" s="8">
        <f t="shared" si="1"/>
        <v>13.3</v>
      </c>
      <c r="Z17" s="3">
        <v>18</v>
      </c>
      <c r="AA17" s="3">
        <v>6.07</v>
      </c>
      <c r="AB17" s="3">
        <v>5.94</v>
      </c>
      <c r="AC17" s="3">
        <v>10.4</v>
      </c>
      <c r="AD17" s="3">
        <v>25.75</v>
      </c>
      <c r="AE17" s="3">
        <v>0.31</v>
      </c>
      <c r="AF17" s="3">
        <v>2.34</v>
      </c>
      <c r="AG17" s="3">
        <v>2.0299999999999998</v>
      </c>
      <c r="AH17" s="3">
        <v>0.06</v>
      </c>
      <c r="AI17" s="3">
        <v>2.57</v>
      </c>
      <c r="AJ17" s="3">
        <v>0.1</v>
      </c>
      <c r="AK17" s="3">
        <v>0.03</v>
      </c>
      <c r="AL17" s="3">
        <v>0</v>
      </c>
      <c r="AM17" s="3">
        <v>8.44</v>
      </c>
      <c r="AN17" s="3">
        <v>0.01</v>
      </c>
      <c r="AO17" s="3">
        <v>0</v>
      </c>
      <c r="AP17" s="3">
        <v>32.1</v>
      </c>
      <c r="AQ17" s="3">
        <v>0.01</v>
      </c>
      <c r="AR17" s="3">
        <v>0</v>
      </c>
      <c r="AS17" s="3">
        <v>0.02</v>
      </c>
      <c r="AT17" s="3">
        <v>2.86</v>
      </c>
      <c r="AU17" s="3">
        <v>10.73</v>
      </c>
      <c r="AV17" s="3">
        <v>0</v>
      </c>
      <c r="AW17" s="3">
        <v>7.69</v>
      </c>
      <c r="AX17" s="3">
        <v>3.88</v>
      </c>
      <c r="AY17" s="3">
        <v>9.68</v>
      </c>
      <c r="AZ17" s="3">
        <v>2.36</v>
      </c>
      <c r="BA17" s="3">
        <v>7.43</v>
      </c>
      <c r="BB17" s="3">
        <v>1.01</v>
      </c>
      <c r="BC17" s="3">
        <v>0.03</v>
      </c>
    </row>
    <row r="18" spans="1:55" x14ac:dyDescent="0.3">
      <c r="A18" s="3" t="s">
        <v>101</v>
      </c>
      <c r="B18" s="3" t="s">
        <v>102</v>
      </c>
      <c r="C18" s="3" t="s">
        <v>103</v>
      </c>
      <c r="D18" s="3">
        <v>1813</v>
      </c>
      <c r="E18" s="3">
        <v>889</v>
      </c>
      <c r="F18" s="3">
        <v>2.2999999999999998</v>
      </c>
      <c r="G18" s="3">
        <v>-0.03</v>
      </c>
      <c r="H18" s="3">
        <v>33467</v>
      </c>
      <c r="I18" s="3">
        <v>0.18</v>
      </c>
      <c r="J18" s="3">
        <v>2.71</v>
      </c>
      <c r="K18" s="3">
        <v>130.13</v>
      </c>
      <c r="L18" s="3">
        <v>348.35</v>
      </c>
      <c r="M18" s="3">
        <v>31.39</v>
      </c>
      <c r="N18" s="3">
        <v>16.420000000000002</v>
      </c>
      <c r="O18" s="3">
        <v>0</v>
      </c>
      <c r="P18" s="3">
        <v>7.71</v>
      </c>
      <c r="Q18" s="3">
        <v>0.54</v>
      </c>
      <c r="R18" s="3">
        <v>4.9000000000000004</v>
      </c>
      <c r="S18" s="3">
        <v>12.3</v>
      </c>
      <c r="T18" s="3">
        <v>33.9</v>
      </c>
      <c r="U18" s="3">
        <v>7.1</v>
      </c>
      <c r="V18" s="8">
        <f t="shared" si="0"/>
        <v>58.2</v>
      </c>
      <c r="W18" s="3">
        <v>6</v>
      </c>
      <c r="X18" s="3">
        <v>59</v>
      </c>
      <c r="Y18" s="8">
        <f t="shared" si="1"/>
        <v>65</v>
      </c>
      <c r="Z18" s="3">
        <v>22</v>
      </c>
      <c r="AA18" s="3">
        <v>5.52</v>
      </c>
      <c r="AB18" s="3">
        <v>5.05</v>
      </c>
      <c r="AC18" s="3">
        <v>10.1</v>
      </c>
      <c r="AD18" s="3">
        <v>259</v>
      </c>
      <c r="AE18" s="3">
        <v>3.11</v>
      </c>
      <c r="AF18" s="3">
        <v>3.78</v>
      </c>
      <c r="AG18" s="3">
        <v>0.66</v>
      </c>
      <c r="AH18" s="3">
        <v>0.05</v>
      </c>
      <c r="AI18" s="3">
        <v>2.62</v>
      </c>
      <c r="AJ18" s="3">
        <v>0.12</v>
      </c>
      <c r="AK18" s="3">
        <v>0.04</v>
      </c>
      <c r="AL18" s="3">
        <v>0</v>
      </c>
      <c r="AM18" s="3">
        <v>14.92</v>
      </c>
      <c r="AN18" s="3">
        <v>0.02</v>
      </c>
      <c r="AO18" s="3">
        <v>0</v>
      </c>
      <c r="AP18" s="3">
        <v>18.59</v>
      </c>
      <c r="AQ18" s="3">
        <v>0.02</v>
      </c>
      <c r="AR18" s="3">
        <v>0</v>
      </c>
      <c r="AS18" s="3">
        <v>0.01</v>
      </c>
      <c r="AT18" s="3">
        <v>3.61</v>
      </c>
      <c r="AU18" s="3">
        <v>16.03</v>
      </c>
      <c r="AV18" s="3">
        <v>0</v>
      </c>
      <c r="AW18" s="3">
        <v>9.56</v>
      </c>
      <c r="AX18" s="3">
        <v>4.5999999999999996</v>
      </c>
      <c r="AY18" s="3">
        <v>8.76</v>
      </c>
      <c r="AZ18" s="3">
        <v>4.3499999999999996</v>
      </c>
      <c r="BA18" s="3">
        <v>21.7</v>
      </c>
      <c r="BB18" s="3">
        <v>1.38</v>
      </c>
      <c r="BC18" s="3">
        <v>0.04</v>
      </c>
    </row>
    <row r="19" spans="1:55" x14ac:dyDescent="0.3">
      <c r="A19" s="3" t="s">
        <v>104</v>
      </c>
      <c r="B19" s="3" t="s">
        <v>105</v>
      </c>
      <c r="C19" s="3" t="s">
        <v>106</v>
      </c>
      <c r="D19" s="3">
        <v>2054</v>
      </c>
      <c r="E19" s="3">
        <v>1025</v>
      </c>
      <c r="F19" s="3">
        <v>398.79</v>
      </c>
      <c r="G19" s="3">
        <v>0.02</v>
      </c>
      <c r="H19" s="3">
        <v>495.04</v>
      </c>
      <c r="I19" s="3">
        <v>0.24</v>
      </c>
      <c r="J19" s="3">
        <v>22.79</v>
      </c>
      <c r="K19" s="3">
        <v>79.06</v>
      </c>
      <c r="L19" s="3">
        <v>68.739999999999995</v>
      </c>
      <c r="M19" s="3">
        <v>47.68</v>
      </c>
      <c r="N19" s="3">
        <v>4.2300000000000004</v>
      </c>
      <c r="O19" s="3">
        <v>2.31</v>
      </c>
      <c r="P19" s="3">
        <v>1.32</v>
      </c>
      <c r="Q19" s="3">
        <v>0.22</v>
      </c>
      <c r="R19" s="3">
        <v>6.4</v>
      </c>
      <c r="S19" s="3">
        <v>33.1</v>
      </c>
      <c r="T19" s="3">
        <v>42.9</v>
      </c>
      <c r="U19" s="3">
        <v>7.5</v>
      </c>
      <c r="V19" s="8">
        <f t="shared" si="0"/>
        <v>89.9</v>
      </c>
      <c r="W19" s="3">
        <v>4.0999999999999996</v>
      </c>
      <c r="X19" s="3">
        <v>0.5</v>
      </c>
      <c r="Y19" s="8">
        <f t="shared" si="1"/>
        <v>4.5999999999999996</v>
      </c>
      <c r="Z19" s="3">
        <v>4</v>
      </c>
      <c r="AA19" s="3">
        <v>6.72</v>
      </c>
      <c r="AB19" s="3">
        <v>6.96</v>
      </c>
      <c r="AC19" s="3">
        <v>1.3</v>
      </c>
      <c r="AD19" s="3">
        <v>0.61</v>
      </c>
      <c r="AE19" s="3">
        <v>0.01</v>
      </c>
      <c r="AF19" s="3">
        <v>0.36</v>
      </c>
      <c r="AG19" s="3">
        <v>0.35</v>
      </c>
      <c r="AH19" s="3">
        <v>0.04</v>
      </c>
      <c r="AI19" s="3">
        <v>0.1</v>
      </c>
      <c r="AJ19" s="3">
        <v>0.04</v>
      </c>
      <c r="AK19" s="3">
        <v>0.02</v>
      </c>
      <c r="AL19" s="3">
        <v>0</v>
      </c>
      <c r="AM19" s="3">
        <v>5.65</v>
      </c>
      <c r="AN19" s="3">
        <v>0.06</v>
      </c>
      <c r="AO19" s="3">
        <v>0</v>
      </c>
      <c r="AP19" s="3">
        <v>2.88</v>
      </c>
      <c r="AQ19" s="3">
        <v>0.06</v>
      </c>
      <c r="AR19" s="3">
        <v>0.09</v>
      </c>
      <c r="AS19" s="3">
        <v>0.03</v>
      </c>
      <c r="AT19" s="3">
        <v>2.27</v>
      </c>
      <c r="AU19" s="3">
        <v>15.03</v>
      </c>
      <c r="AV19" s="3">
        <v>0</v>
      </c>
      <c r="AW19" s="3">
        <v>5.33</v>
      </c>
      <c r="AX19" s="3">
        <v>1.67</v>
      </c>
      <c r="AY19" s="3">
        <v>2.4900000000000002</v>
      </c>
      <c r="AZ19" s="3">
        <v>1.85</v>
      </c>
      <c r="BA19" s="3">
        <v>74.599999999999994</v>
      </c>
      <c r="BB19" s="3">
        <v>0.8</v>
      </c>
      <c r="BC19" s="3">
        <v>0.03</v>
      </c>
    </row>
    <row r="20" spans="1:55" x14ac:dyDescent="0.3">
      <c r="A20" s="3" t="s">
        <v>107</v>
      </c>
      <c r="B20" s="3" t="s">
        <v>108</v>
      </c>
      <c r="C20" s="3" t="s">
        <v>109</v>
      </c>
      <c r="D20" s="3">
        <v>2029</v>
      </c>
      <c r="E20" s="3">
        <v>980</v>
      </c>
      <c r="F20" s="3">
        <v>412.98</v>
      </c>
      <c r="G20" s="3">
        <v>0.01</v>
      </c>
      <c r="H20" s="3">
        <v>349.88</v>
      </c>
      <c r="I20" s="3">
        <v>0.09</v>
      </c>
      <c r="J20" s="3">
        <v>19.2</v>
      </c>
      <c r="K20" s="3">
        <v>45.18</v>
      </c>
      <c r="L20" s="3">
        <v>70.95</v>
      </c>
      <c r="M20" s="3">
        <v>32</v>
      </c>
      <c r="N20" s="3">
        <v>3.59</v>
      </c>
      <c r="O20" s="3">
        <v>0.45</v>
      </c>
      <c r="P20" s="3">
        <v>1.51</v>
      </c>
      <c r="Q20" s="3">
        <v>0.32</v>
      </c>
      <c r="R20" s="3">
        <v>6.7</v>
      </c>
      <c r="S20" s="3">
        <v>32.6</v>
      </c>
      <c r="T20" s="3">
        <v>42.2</v>
      </c>
      <c r="U20" s="3">
        <v>7.3</v>
      </c>
      <c r="V20" s="8">
        <f t="shared" si="0"/>
        <v>88.8</v>
      </c>
      <c r="W20" s="3">
        <v>3.5</v>
      </c>
      <c r="X20" s="3">
        <v>0.6</v>
      </c>
      <c r="Y20" s="8">
        <f t="shared" si="1"/>
        <v>4.0999999999999996</v>
      </c>
      <c r="Z20" s="3">
        <v>5.2</v>
      </c>
      <c r="AA20" s="3">
        <v>6.43</v>
      </c>
      <c r="AB20" s="3">
        <v>6.93</v>
      </c>
      <c r="AC20" s="3">
        <v>1</v>
      </c>
      <c r="AD20" s="3">
        <v>1.82</v>
      </c>
      <c r="AE20" s="3">
        <v>0.02</v>
      </c>
      <c r="AF20" s="3">
        <v>0.32</v>
      </c>
      <c r="AG20" s="3">
        <v>0.3</v>
      </c>
      <c r="AH20" s="3">
        <v>0.04</v>
      </c>
      <c r="AI20" s="3">
        <v>0.11</v>
      </c>
      <c r="AJ20" s="3">
        <v>0.04</v>
      </c>
      <c r="AK20" s="3">
        <v>0.02</v>
      </c>
      <c r="AL20" s="3">
        <v>0</v>
      </c>
      <c r="AM20" s="3">
        <v>4.0199999999999996</v>
      </c>
      <c r="AN20" s="3">
        <v>0.15</v>
      </c>
      <c r="AO20" s="3">
        <v>0</v>
      </c>
      <c r="AP20" s="3">
        <v>4.3499999999999996</v>
      </c>
      <c r="AQ20" s="3">
        <v>0.15</v>
      </c>
      <c r="AR20" s="3">
        <v>0.09</v>
      </c>
      <c r="AS20" s="3">
        <v>0.02</v>
      </c>
      <c r="AT20" s="3">
        <v>2.4900000000000002</v>
      </c>
      <c r="AU20" s="3">
        <v>16.43</v>
      </c>
      <c r="AV20" s="3">
        <v>0.04</v>
      </c>
      <c r="AW20" s="3">
        <v>6.07</v>
      </c>
      <c r="AX20" s="3">
        <v>1.67</v>
      </c>
      <c r="AY20" s="3">
        <v>3.52</v>
      </c>
      <c r="AZ20" s="3">
        <v>3.47</v>
      </c>
      <c r="BA20" s="3">
        <v>43.9</v>
      </c>
      <c r="BB20" s="3">
        <v>0.74</v>
      </c>
      <c r="BC20" s="3">
        <v>0.03</v>
      </c>
    </row>
    <row r="21" spans="1:55" x14ac:dyDescent="0.3">
      <c r="A21" s="3" t="s">
        <v>110</v>
      </c>
      <c r="B21" s="3" t="s">
        <v>111</v>
      </c>
      <c r="C21" s="3" t="s">
        <v>112</v>
      </c>
      <c r="D21" s="3">
        <v>1967</v>
      </c>
      <c r="E21" s="3">
        <v>872</v>
      </c>
      <c r="F21" s="3">
        <v>117.97</v>
      </c>
      <c r="G21" s="3">
        <v>0.01</v>
      </c>
      <c r="H21" s="3">
        <v>414.15</v>
      </c>
      <c r="I21" s="3">
        <v>0.18</v>
      </c>
      <c r="J21" s="3">
        <v>20.6</v>
      </c>
      <c r="K21" s="3">
        <v>64.75</v>
      </c>
      <c r="L21" s="3">
        <v>74.739999999999995</v>
      </c>
      <c r="M21" s="3">
        <v>14</v>
      </c>
      <c r="N21" s="3">
        <v>5.22</v>
      </c>
      <c r="O21" s="3">
        <v>0</v>
      </c>
      <c r="P21" s="3">
        <v>0</v>
      </c>
      <c r="Q21" s="3">
        <v>0.19</v>
      </c>
      <c r="R21" s="3">
        <v>7.4</v>
      </c>
      <c r="S21" s="3">
        <v>34.9</v>
      </c>
      <c r="T21" s="3">
        <v>44.6</v>
      </c>
      <c r="U21" s="3">
        <v>6.5</v>
      </c>
      <c r="V21" s="8">
        <f t="shared" si="0"/>
        <v>93.4</v>
      </c>
      <c r="W21" s="3">
        <v>3.3</v>
      </c>
      <c r="X21" s="3">
        <v>0</v>
      </c>
      <c r="Y21" s="8">
        <f t="shared" si="1"/>
        <v>3.3</v>
      </c>
      <c r="Z21" s="3">
        <v>1.9</v>
      </c>
      <c r="AA21" s="3">
        <v>7.26</v>
      </c>
      <c r="AB21" s="3">
        <v>7.02</v>
      </c>
      <c r="AC21" s="3">
        <v>1.9</v>
      </c>
      <c r="AD21" s="3">
        <v>3.03</v>
      </c>
      <c r="AE21" s="3">
        <v>0.04</v>
      </c>
      <c r="AF21" s="3">
        <v>0.15</v>
      </c>
      <c r="AG21" s="3">
        <v>0.12</v>
      </c>
      <c r="AH21" s="3">
        <v>0.02</v>
      </c>
      <c r="AI21" s="3">
        <v>0.14000000000000001</v>
      </c>
      <c r="AJ21" s="3">
        <v>0.04</v>
      </c>
      <c r="AK21" s="3">
        <v>0.02</v>
      </c>
      <c r="AL21" s="3">
        <v>0</v>
      </c>
      <c r="AM21" s="3">
        <v>8.5</v>
      </c>
      <c r="AN21" s="3">
        <v>0.03</v>
      </c>
      <c r="AO21" s="3">
        <v>0</v>
      </c>
      <c r="AP21" s="3">
        <v>2.38</v>
      </c>
      <c r="AQ21" s="3">
        <v>0.03</v>
      </c>
      <c r="AR21" s="3">
        <v>0</v>
      </c>
      <c r="AS21" s="3">
        <v>0.04</v>
      </c>
      <c r="AT21" s="3">
        <v>1</v>
      </c>
      <c r="AU21" s="3">
        <v>3.1</v>
      </c>
      <c r="AV21" s="3">
        <v>0.84</v>
      </c>
      <c r="AW21" s="3">
        <v>1.1299999999999999</v>
      </c>
      <c r="AX21" s="3">
        <v>0.55000000000000004</v>
      </c>
      <c r="AY21" s="3">
        <v>1.44</v>
      </c>
      <c r="AZ21" s="3">
        <v>1.25</v>
      </c>
      <c r="BA21" s="3">
        <v>26.8</v>
      </c>
      <c r="BB21" s="3">
        <v>0.28000000000000003</v>
      </c>
      <c r="BC21" s="3">
        <v>0.01</v>
      </c>
    </row>
    <row r="22" spans="1:55" x14ac:dyDescent="0.3">
      <c r="A22" s="3" t="s">
        <v>113</v>
      </c>
      <c r="B22" s="3" t="s">
        <v>114</v>
      </c>
      <c r="C22" s="3" t="s">
        <v>115</v>
      </c>
      <c r="D22" s="3">
        <v>2024</v>
      </c>
      <c r="E22" s="3">
        <v>940</v>
      </c>
      <c r="F22" s="3">
        <v>218</v>
      </c>
      <c r="G22" s="3">
        <v>0.09</v>
      </c>
      <c r="H22" s="3">
        <v>526.66</v>
      </c>
      <c r="I22" s="3">
        <v>0.33</v>
      </c>
      <c r="J22" s="3">
        <v>69.8</v>
      </c>
      <c r="K22" s="3">
        <v>107.02</v>
      </c>
      <c r="L22" s="3">
        <v>294.39</v>
      </c>
      <c r="M22" s="3">
        <v>22</v>
      </c>
      <c r="N22" s="3">
        <v>14.53</v>
      </c>
      <c r="O22" s="3">
        <v>0</v>
      </c>
      <c r="P22" s="3">
        <v>0</v>
      </c>
      <c r="Q22" s="3">
        <v>0.05</v>
      </c>
      <c r="R22" s="3">
        <v>6</v>
      </c>
      <c r="S22" s="3">
        <v>26.8</v>
      </c>
      <c r="T22" s="3">
        <v>50.1</v>
      </c>
      <c r="U22" s="3">
        <v>7.5</v>
      </c>
      <c r="V22" s="8">
        <f t="shared" si="0"/>
        <v>90.4</v>
      </c>
      <c r="W22" s="3">
        <v>3.4</v>
      </c>
      <c r="X22" s="3">
        <v>0.3</v>
      </c>
      <c r="Y22" s="8">
        <f t="shared" si="1"/>
        <v>3.6999999999999997</v>
      </c>
      <c r="Z22" s="3">
        <v>5.2</v>
      </c>
      <c r="AA22" s="3">
        <v>6.67</v>
      </c>
      <c r="AB22" s="3">
        <v>6.17</v>
      </c>
      <c r="AC22" s="3">
        <v>2.7</v>
      </c>
      <c r="AD22" s="3">
        <v>0.41</v>
      </c>
      <c r="AE22" s="3">
        <v>0</v>
      </c>
      <c r="AF22" s="3">
        <v>0.12</v>
      </c>
      <c r="AG22" s="3">
        <v>0.11</v>
      </c>
      <c r="AH22" s="3">
        <v>0.02</v>
      </c>
      <c r="AI22" s="3">
        <v>0.2</v>
      </c>
      <c r="AJ22" s="3">
        <v>0.18</v>
      </c>
      <c r="AK22" s="3">
        <v>0.03</v>
      </c>
      <c r="AL22" s="3">
        <v>0</v>
      </c>
      <c r="AM22" s="3">
        <v>7.76</v>
      </c>
      <c r="AN22" s="3">
        <v>0.04</v>
      </c>
      <c r="AO22" s="3">
        <v>0</v>
      </c>
      <c r="AP22" s="3">
        <v>5.32</v>
      </c>
      <c r="AQ22" s="3">
        <v>0.04</v>
      </c>
      <c r="AR22" s="3">
        <v>0</v>
      </c>
      <c r="AS22" s="3">
        <v>0.01</v>
      </c>
      <c r="AT22" s="3">
        <v>1.53</v>
      </c>
      <c r="AU22" s="3">
        <v>7.6</v>
      </c>
      <c r="AV22" s="3">
        <v>0</v>
      </c>
      <c r="AW22" s="3">
        <v>3.88</v>
      </c>
      <c r="AX22" s="3">
        <v>1.3</v>
      </c>
      <c r="AY22" s="3">
        <v>2.87</v>
      </c>
      <c r="AZ22" s="3">
        <v>2.7</v>
      </c>
      <c r="BA22" s="3">
        <v>10.199999999999999</v>
      </c>
      <c r="BB22" s="3">
        <v>0.36</v>
      </c>
      <c r="BC22" s="3">
        <v>0.03</v>
      </c>
    </row>
    <row r="23" spans="1:55" x14ac:dyDescent="0.3">
      <c r="A23" s="3" t="s">
        <v>116</v>
      </c>
      <c r="B23" s="3" t="s">
        <v>117</v>
      </c>
      <c r="C23" s="3" t="s">
        <v>118</v>
      </c>
      <c r="D23" s="3">
        <v>1886</v>
      </c>
      <c r="E23" s="3">
        <v>1008</v>
      </c>
      <c r="F23" s="3">
        <v>256</v>
      </c>
      <c r="G23" s="3">
        <v>0.17</v>
      </c>
      <c r="H23" s="3">
        <v>940.09</v>
      </c>
      <c r="I23" s="3">
        <v>0.44</v>
      </c>
      <c r="J23" s="3">
        <v>31.4</v>
      </c>
      <c r="K23" s="3">
        <v>301.8</v>
      </c>
      <c r="L23" s="3">
        <v>208.9</v>
      </c>
      <c r="M23" s="3">
        <v>29.2</v>
      </c>
      <c r="N23" s="3">
        <v>4.46</v>
      </c>
      <c r="O23" s="3">
        <v>7.02</v>
      </c>
      <c r="P23" s="3">
        <v>0.16</v>
      </c>
      <c r="Q23" s="3">
        <v>1.1599999999999999</v>
      </c>
      <c r="R23" s="3">
        <v>0.2</v>
      </c>
      <c r="S23" s="3">
        <v>15</v>
      </c>
      <c r="T23" s="3">
        <v>52.7</v>
      </c>
      <c r="U23" s="3">
        <v>15.9</v>
      </c>
      <c r="V23" s="8">
        <f t="shared" si="0"/>
        <v>83.800000000000011</v>
      </c>
      <c r="W23" s="3">
        <v>5.5</v>
      </c>
      <c r="X23" s="3">
        <v>4.5999999999999996</v>
      </c>
      <c r="Y23" s="8">
        <f t="shared" si="1"/>
        <v>10.1</v>
      </c>
      <c r="Z23" s="3">
        <v>5</v>
      </c>
      <c r="AA23" s="3">
        <v>7.26</v>
      </c>
      <c r="AB23" s="3">
        <v>7.02</v>
      </c>
      <c r="AC23" s="3">
        <v>4.0999999999999996</v>
      </c>
      <c r="AD23" s="3">
        <v>2.0299999999999998</v>
      </c>
      <c r="AE23" s="3">
        <v>0.02</v>
      </c>
      <c r="AF23" s="3">
        <v>0.27</v>
      </c>
      <c r="AG23" s="3">
        <v>0.24</v>
      </c>
      <c r="AH23" s="3">
        <v>0.03</v>
      </c>
      <c r="AI23" s="3">
        <v>0.38</v>
      </c>
      <c r="AJ23" s="3">
        <v>0.12</v>
      </c>
      <c r="AK23" s="3">
        <v>0.06</v>
      </c>
      <c r="AL23" s="3">
        <v>0</v>
      </c>
      <c r="AM23" s="3">
        <v>2.65</v>
      </c>
      <c r="AN23" s="3">
        <v>0.05</v>
      </c>
      <c r="AO23" s="3">
        <v>0</v>
      </c>
      <c r="AP23" s="3">
        <v>21.2</v>
      </c>
      <c r="AQ23" s="3">
        <v>0.05</v>
      </c>
      <c r="AR23" s="3">
        <v>0</v>
      </c>
      <c r="AS23" s="3">
        <v>0.01</v>
      </c>
      <c r="AT23" s="3">
        <v>1.88</v>
      </c>
      <c r="AU23" s="3">
        <v>17.93</v>
      </c>
      <c r="AV23" s="3">
        <v>0.92</v>
      </c>
      <c r="AW23" s="3">
        <v>10.6</v>
      </c>
      <c r="AX23" s="3">
        <v>1.29</v>
      </c>
      <c r="AY23" s="3">
        <v>8.0500000000000007</v>
      </c>
      <c r="AZ23" s="3">
        <v>2.94</v>
      </c>
      <c r="BA23" s="3">
        <v>74.099999999999994</v>
      </c>
      <c r="BB23" s="3">
        <v>1.01</v>
      </c>
      <c r="BC23" s="3">
        <v>0.02</v>
      </c>
    </row>
    <row r="24" spans="1:55" x14ac:dyDescent="0.3">
      <c r="A24" s="3" t="s">
        <v>119</v>
      </c>
      <c r="B24" s="3" t="s">
        <v>120</v>
      </c>
      <c r="C24" s="3" t="s">
        <v>121</v>
      </c>
      <c r="D24" s="3">
        <v>2004</v>
      </c>
      <c r="E24" s="3">
        <v>1094</v>
      </c>
      <c r="F24" s="3">
        <v>277</v>
      </c>
      <c r="G24" s="3">
        <v>0.13</v>
      </c>
      <c r="H24" s="3">
        <v>1064.2</v>
      </c>
      <c r="I24" s="3">
        <v>0.34</v>
      </c>
      <c r="J24" s="3">
        <v>27.7</v>
      </c>
      <c r="K24" s="3">
        <v>414.38</v>
      </c>
      <c r="L24" s="3">
        <v>456.87</v>
      </c>
      <c r="M24" s="3">
        <v>37</v>
      </c>
      <c r="N24" s="3">
        <v>10.06</v>
      </c>
      <c r="O24" s="3">
        <v>0</v>
      </c>
      <c r="P24" s="3">
        <v>0.52</v>
      </c>
      <c r="Q24" s="3">
        <v>0.24</v>
      </c>
      <c r="R24" s="3">
        <v>0.5</v>
      </c>
      <c r="S24" s="3">
        <v>11.8</v>
      </c>
      <c r="T24" s="3">
        <v>50.4</v>
      </c>
      <c r="U24" s="3">
        <v>15.6</v>
      </c>
      <c r="V24" s="8">
        <f t="shared" si="0"/>
        <v>78.3</v>
      </c>
      <c r="W24" s="3">
        <v>5.9</v>
      </c>
      <c r="X24" s="3">
        <v>1.1000000000000001</v>
      </c>
      <c r="Y24" s="8">
        <f t="shared" si="1"/>
        <v>7</v>
      </c>
      <c r="Z24" s="3">
        <v>13.1</v>
      </c>
      <c r="AA24" s="3">
        <v>6.67</v>
      </c>
      <c r="AB24" s="3">
        <v>6.17</v>
      </c>
      <c r="AC24" s="3">
        <v>4.5999999999999996</v>
      </c>
      <c r="AD24" s="3">
        <v>1.22</v>
      </c>
      <c r="AE24" s="3">
        <v>0.01</v>
      </c>
      <c r="AF24" s="3">
        <v>0.21</v>
      </c>
      <c r="AG24" s="3">
        <v>0.2</v>
      </c>
      <c r="AH24" s="3">
        <v>0.03</v>
      </c>
      <c r="AI24" s="3">
        <v>0.42</v>
      </c>
      <c r="AJ24" s="3">
        <v>0.27</v>
      </c>
      <c r="AK24" s="3">
        <v>0.08</v>
      </c>
      <c r="AL24" s="3">
        <v>0</v>
      </c>
      <c r="AM24" s="3">
        <v>10.65</v>
      </c>
      <c r="AN24" s="3">
        <v>0.02</v>
      </c>
      <c r="AO24" s="3">
        <v>0</v>
      </c>
      <c r="AP24" s="3">
        <v>7.23</v>
      </c>
      <c r="AQ24" s="3">
        <v>0.02</v>
      </c>
      <c r="AR24" s="3">
        <v>0</v>
      </c>
      <c r="AS24" s="3">
        <v>0.01</v>
      </c>
      <c r="AT24" s="3">
        <v>2.09</v>
      </c>
      <c r="AU24" s="3">
        <v>21.73</v>
      </c>
      <c r="AV24" s="3">
        <v>0.02</v>
      </c>
      <c r="AW24" s="3">
        <v>13</v>
      </c>
      <c r="AX24" s="3">
        <v>1.57</v>
      </c>
      <c r="AY24" s="3">
        <v>5.4</v>
      </c>
      <c r="AZ24" s="3">
        <v>2.39</v>
      </c>
      <c r="BA24" s="3">
        <v>34.700000000000003</v>
      </c>
      <c r="BB24" s="3">
        <v>1.03</v>
      </c>
      <c r="BC24" s="3">
        <v>0.02</v>
      </c>
    </row>
    <row r="25" spans="1:55" x14ac:dyDescent="0.3">
      <c r="A25" s="3" t="s">
        <v>122</v>
      </c>
      <c r="B25" s="3" t="s">
        <v>123</v>
      </c>
      <c r="C25" s="3" t="s">
        <v>124</v>
      </c>
      <c r="D25" s="3">
        <v>2723</v>
      </c>
      <c r="E25" s="3">
        <v>1186</v>
      </c>
      <c r="F25" s="3">
        <v>432.83</v>
      </c>
      <c r="G25" s="3">
        <v>0.17</v>
      </c>
      <c r="H25" s="3">
        <v>1460.92</v>
      </c>
      <c r="I25" s="3">
        <v>2.0699999999999998</v>
      </c>
      <c r="J25" s="3">
        <v>53.88</v>
      </c>
      <c r="K25" s="3">
        <v>59.95</v>
      </c>
      <c r="L25" s="3">
        <v>122.6</v>
      </c>
      <c r="M25" s="3">
        <v>149.93</v>
      </c>
      <c r="N25" s="3">
        <v>3.75</v>
      </c>
      <c r="O25" s="3">
        <v>4.46</v>
      </c>
      <c r="P25" s="3">
        <v>7.16</v>
      </c>
      <c r="Q25" s="3">
        <v>1.44</v>
      </c>
      <c r="R25" s="3">
        <v>6.1</v>
      </c>
      <c r="S25" s="3">
        <v>6.9</v>
      </c>
      <c r="T25" s="3">
        <v>20.5</v>
      </c>
      <c r="U25" s="3">
        <v>29.4</v>
      </c>
      <c r="V25" s="8">
        <f t="shared" si="0"/>
        <v>62.9</v>
      </c>
      <c r="W25" s="3">
        <v>14.6</v>
      </c>
      <c r="X25" s="3">
        <v>8.4</v>
      </c>
      <c r="Y25" s="8">
        <f t="shared" si="1"/>
        <v>23</v>
      </c>
      <c r="Z25" s="3">
        <v>12.1</v>
      </c>
      <c r="AA25" s="3">
        <v>7.06</v>
      </c>
      <c r="AB25" s="3">
        <v>7.14</v>
      </c>
      <c r="AC25" s="3">
        <v>9.5</v>
      </c>
      <c r="AD25" s="3">
        <v>1.62</v>
      </c>
      <c r="AE25" s="3">
        <v>0.02</v>
      </c>
      <c r="AF25" s="3">
        <v>0.86</v>
      </c>
      <c r="AG25" s="3">
        <v>0.84</v>
      </c>
      <c r="AH25" s="3">
        <v>0.1</v>
      </c>
      <c r="AI25" s="3">
        <v>0.79</v>
      </c>
      <c r="AJ25" s="3">
        <v>0.1</v>
      </c>
      <c r="AK25" s="3">
        <v>0.02</v>
      </c>
      <c r="AL25" s="3">
        <v>0</v>
      </c>
      <c r="AM25" s="3">
        <v>8.58</v>
      </c>
      <c r="AN25" s="3">
        <v>0.09</v>
      </c>
      <c r="AO25" s="3">
        <v>0</v>
      </c>
      <c r="AP25" s="3">
        <v>10.71</v>
      </c>
      <c r="AQ25" s="3">
        <v>0.09</v>
      </c>
      <c r="AR25" s="3">
        <v>0.34</v>
      </c>
      <c r="AS25" s="3">
        <v>0.12</v>
      </c>
      <c r="AT25" s="3">
        <v>29.81</v>
      </c>
      <c r="AU25" s="3">
        <v>30.43</v>
      </c>
      <c r="AV25" s="3">
        <v>0.16</v>
      </c>
      <c r="AW25" s="3">
        <v>22.4</v>
      </c>
      <c r="AX25" s="3">
        <v>6.4</v>
      </c>
      <c r="AY25" s="3">
        <v>16.7</v>
      </c>
      <c r="AZ25" s="3">
        <v>13.47</v>
      </c>
      <c r="BA25" s="3">
        <v>205</v>
      </c>
      <c r="BB25" s="3">
        <v>10.29</v>
      </c>
      <c r="BC25" s="3">
        <v>0.99</v>
      </c>
    </row>
    <row r="26" spans="1:55" x14ac:dyDescent="0.3">
      <c r="A26" s="3" t="s">
        <v>125</v>
      </c>
      <c r="B26" s="3" t="s">
        <v>126</v>
      </c>
      <c r="C26" s="3" t="s">
        <v>127</v>
      </c>
      <c r="D26" s="3">
        <v>2786</v>
      </c>
      <c r="E26" s="3">
        <v>1218</v>
      </c>
      <c r="F26" s="3">
        <v>462.83</v>
      </c>
      <c r="G26" s="3">
        <v>0.18</v>
      </c>
      <c r="H26" s="3">
        <v>1809.05</v>
      </c>
      <c r="I26" s="3">
        <v>2.4900000000000002</v>
      </c>
      <c r="J26" s="3">
        <v>43.78</v>
      </c>
      <c r="K26" s="3">
        <v>50.72</v>
      </c>
      <c r="L26" s="3">
        <v>149.77000000000001</v>
      </c>
      <c r="M26" s="3">
        <v>160.97</v>
      </c>
      <c r="N26" s="3">
        <v>5.87</v>
      </c>
      <c r="O26" s="3">
        <v>1.78</v>
      </c>
      <c r="P26" s="3">
        <v>6.57</v>
      </c>
      <c r="Q26" s="3">
        <v>1.1100000000000001</v>
      </c>
      <c r="R26" s="3">
        <v>8.1999999999999993</v>
      </c>
      <c r="S26" s="3">
        <v>7.3</v>
      </c>
      <c r="T26" s="3">
        <v>18.5</v>
      </c>
      <c r="U26" s="3">
        <v>26.3</v>
      </c>
      <c r="V26" s="8">
        <f t="shared" si="0"/>
        <v>60.3</v>
      </c>
      <c r="W26" s="3">
        <v>14.5</v>
      </c>
      <c r="X26" s="3">
        <v>9.4</v>
      </c>
      <c r="Y26" s="8">
        <f t="shared" si="1"/>
        <v>23.9</v>
      </c>
      <c r="Z26" s="3">
        <v>14.8</v>
      </c>
      <c r="AA26" s="3">
        <v>7.44</v>
      </c>
      <c r="AB26" s="3">
        <v>7.49</v>
      </c>
      <c r="AC26" s="3">
        <v>9.3000000000000007</v>
      </c>
      <c r="AD26" s="3">
        <v>3.06</v>
      </c>
      <c r="AE26" s="3">
        <v>0.04</v>
      </c>
      <c r="AF26" s="3">
        <v>0.68</v>
      </c>
      <c r="AG26" s="3">
        <v>0.64</v>
      </c>
      <c r="AH26" s="3">
        <v>0.09</v>
      </c>
      <c r="AI26" s="3">
        <v>0.93</v>
      </c>
      <c r="AJ26" s="3">
        <v>0.12</v>
      </c>
      <c r="AK26" s="3">
        <v>0.02</v>
      </c>
      <c r="AL26" s="3">
        <v>0</v>
      </c>
      <c r="AM26" s="3">
        <v>8</v>
      </c>
      <c r="AN26" s="3">
        <v>0.04</v>
      </c>
      <c r="AO26" s="3">
        <v>0</v>
      </c>
      <c r="AP26" s="3">
        <v>13.42</v>
      </c>
      <c r="AQ26" s="3">
        <v>0.04</v>
      </c>
      <c r="AR26" s="3">
        <v>0.41</v>
      </c>
      <c r="AS26" s="3">
        <v>0.15</v>
      </c>
      <c r="AT26" s="3">
        <v>45.11</v>
      </c>
      <c r="AU26" s="3">
        <v>50.03</v>
      </c>
      <c r="AV26" s="3">
        <v>0.71</v>
      </c>
      <c r="AW26" s="3">
        <v>37.5</v>
      </c>
      <c r="AX26" s="3">
        <v>9.31</v>
      </c>
      <c r="AY26" s="3">
        <v>30.8</v>
      </c>
      <c r="AZ26" s="3">
        <v>23.07</v>
      </c>
      <c r="BA26" s="3">
        <v>111</v>
      </c>
      <c r="BB26" s="3">
        <v>13.27</v>
      </c>
      <c r="BC26" s="3">
        <v>0.77</v>
      </c>
    </row>
    <row r="27" spans="1:55" x14ac:dyDescent="0.3">
      <c r="A27" s="3" t="s">
        <v>128</v>
      </c>
      <c r="B27" s="3" t="s">
        <v>129</v>
      </c>
      <c r="C27" s="3" t="s">
        <v>130</v>
      </c>
      <c r="D27" s="3">
        <v>1844</v>
      </c>
      <c r="E27" s="3">
        <v>828</v>
      </c>
      <c r="F27" s="3">
        <v>113</v>
      </c>
      <c r="G27" s="3">
        <v>0.02</v>
      </c>
      <c r="H27" s="3">
        <v>115.56</v>
      </c>
      <c r="I27" s="3">
        <v>0.05</v>
      </c>
      <c r="J27" s="3">
        <v>40.1</v>
      </c>
      <c r="K27" s="3">
        <v>43.49</v>
      </c>
      <c r="L27" s="3">
        <v>69.02</v>
      </c>
      <c r="M27" s="3">
        <v>3.27</v>
      </c>
      <c r="N27" s="3">
        <v>36.08</v>
      </c>
      <c r="O27" s="3">
        <v>0</v>
      </c>
      <c r="P27" s="3">
        <v>0</v>
      </c>
      <c r="Q27" s="3">
        <v>0.11</v>
      </c>
      <c r="R27" s="3">
        <v>0.5</v>
      </c>
      <c r="S27" s="3">
        <v>30.8</v>
      </c>
      <c r="T27" s="3">
        <v>54.9</v>
      </c>
      <c r="U27" s="3">
        <v>7.8</v>
      </c>
      <c r="V27" s="8">
        <f t="shared" si="0"/>
        <v>94</v>
      </c>
      <c r="W27" s="3">
        <v>2.6</v>
      </c>
      <c r="X27" s="3">
        <v>1.2</v>
      </c>
      <c r="Y27" s="8">
        <f t="shared" si="1"/>
        <v>3.8</v>
      </c>
      <c r="Z27" s="3">
        <v>0.9</v>
      </c>
      <c r="AA27" s="3">
        <v>6.61</v>
      </c>
      <c r="AB27" s="3">
        <v>6.5</v>
      </c>
      <c r="AC27" s="3">
        <v>2.5</v>
      </c>
      <c r="AD27" s="3">
        <v>0.56999999999999995</v>
      </c>
      <c r="AE27" s="3">
        <v>0.01</v>
      </c>
      <c r="AF27" s="3">
        <v>0.15</v>
      </c>
      <c r="AG27" s="3">
        <v>0.15</v>
      </c>
      <c r="AH27" s="3">
        <v>0.02</v>
      </c>
      <c r="AI27" s="3">
        <v>0.04</v>
      </c>
      <c r="AJ27" s="3">
        <v>0.04</v>
      </c>
      <c r="AK27" s="3">
        <v>0.02</v>
      </c>
      <c r="AL27" s="3">
        <v>0.01</v>
      </c>
      <c r="AM27" s="3">
        <v>1.74</v>
      </c>
      <c r="AN27" s="3">
        <v>0.03</v>
      </c>
      <c r="AO27" s="3">
        <v>0</v>
      </c>
      <c r="AP27" s="3">
        <v>6.44</v>
      </c>
      <c r="AQ27" s="3">
        <v>0.03</v>
      </c>
      <c r="AR27" s="3">
        <v>0</v>
      </c>
      <c r="AS27" s="3">
        <v>0</v>
      </c>
      <c r="AT27" s="3">
        <v>0.68</v>
      </c>
      <c r="AU27" s="3">
        <v>5.21</v>
      </c>
      <c r="AV27" s="3">
        <v>0.42</v>
      </c>
      <c r="AW27" s="3">
        <v>1.17</v>
      </c>
      <c r="AX27" s="3">
        <v>0.5</v>
      </c>
      <c r="AY27" s="3">
        <v>3.01</v>
      </c>
      <c r="AZ27" s="3">
        <v>0.48</v>
      </c>
      <c r="BA27" s="3">
        <v>2.82</v>
      </c>
      <c r="BB27" s="3">
        <v>0.26</v>
      </c>
      <c r="BC27" s="3">
        <v>0.01</v>
      </c>
    </row>
    <row r="28" spans="1:55" x14ac:dyDescent="0.3">
      <c r="A28" s="3" t="s">
        <v>131</v>
      </c>
      <c r="B28" s="3" t="s">
        <v>132</v>
      </c>
      <c r="C28" s="3" t="s">
        <v>133</v>
      </c>
      <c r="D28" s="3">
        <v>1751</v>
      </c>
      <c r="E28" s="3">
        <v>840</v>
      </c>
      <c r="F28" s="3">
        <v>152</v>
      </c>
      <c r="G28" s="3">
        <v>0.05</v>
      </c>
      <c r="H28" s="3">
        <v>387.87</v>
      </c>
      <c r="I28" s="3">
        <v>0.26</v>
      </c>
      <c r="J28" s="3">
        <v>36.4</v>
      </c>
      <c r="K28" s="3">
        <v>115.73</v>
      </c>
      <c r="L28" s="3">
        <v>113.48</v>
      </c>
      <c r="M28" s="3">
        <v>7.68</v>
      </c>
      <c r="N28" s="3">
        <v>9.89</v>
      </c>
      <c r="O28" s="3">
        <v>0.61</v>
      </c>
      <c r="P28" s="3">
        <v>0</v>
      </c>
      <c r="Q28" s="3">
        <v>0.36</v>
      </c>
      <c r="R28" s="3">
        <v>1.9</v>
      </c>
      <c r="S28" s="3">
        <v>28.8</v>
      </c>
      <c r="T28" s="3">
        <v>52.5</v>
      </c>
      <c r="U28" s="3">
        <v>8.3000000000000007</v>
      </c>
      <c r="V28" s="8">
        <f t="shared" si="0"/>
        <v>91.5</v>
      </c>
      <c r="W28" s="3">
        <v>3.8</v>
      </c>
      <c r="X28" s="3">
        <v>1.2</v>
      </c>
      <c r="Y28" s="8">
        <f t="shared" si="1"/>
        <v>5</v>
      </c>
      <c r="Z28" s="3">
        <v>2.7</v>
      </c>
      <c r="AA28" s="3">
        <v>6.45</v>
      </c>
      <c r="AB28" s="3">
        <v>6.43</v>
      </c>
      <c r="AC28" s="3">
        <v>1.7</v>
      </c>
      <c r="AD28" s="3">
        <v>2.86</v>
      </c>
      <c r="AE28" s="3">
        <v>0.03</v>
      </c>
      <c r="AF28" s="3">
        <v>0.33</v>
      </c>
      <c r="AG28" s="3">
        <v>0.28999999999999998</v>
      </c>
      <c r="AH28" s="3">
        <v>0.04</v>
      </c>
      <c r="AI28" s="3">
        <v>0.12</v>
      </c>
      <c r="AJ28" s="3">
        <v>0.06</v>
      </c>
      <c r="AK28" s="3">
        <v>0.02</v>
      </c>
      <c r="AL28" s="3">
        <v>0</v>
      </c>
      <c r="AM28" s="3">
        <v>2.74</v>
      </c>
      <c r="AN28" s="3">
        <v>0.05</v>
      </c>
      <c r="AO28" s="3">
        <v>0</v>
      </c>
      <c r="AP28" s="3">
        <v>7.49</v>
      </c>
      <c r="AQ28" s="3">
        <v>0.05</v>
      </c>
      <c r="AR28" s="3">
        <v>0</v>
      </c>
      <c r="AS28" s="3">
        <v>0.01</v>
      </c>
      <c r="AT28" s="3">
        <v>0.86</v>
      </c>
      <c r="AU28" s="3">
        <v>8.18</v>
      </c>
      <c r="AV28" s="3">
        <v>0.09</v>
      </c>
      <c r="AW28" s="3">
        <v>1.88</v>
      </c>
      <c r="AX28" s="3">
        <v>0.86</v>
      </c>
      <c r="AY28" s="3">
        <v>1.89</v>
      </c>
      <c r="AZ28" s="3">
        <v>2.21</v>
      </c>
      <c r="BA28" s="3">
        <v>29</v>
      </c>
      <c r="BB28" s="3">
        <v>0.26</v>
      </c>
      <c r="BC28" s="3">
        <v>0.02</v>
      </c>
    </row>
    <row r="29" spans="1:55" x14ac:dyDescent="0.3">
      <c r="A29" s="3" t="s">
        <v>134</v>
      </c>
      <c r="B29" s="3" t="s">
        <v>135</v>
      </c>
      <c r="C29" s="3" t="s">
        <v>136</v>
      </c>
      <c r="D29" s="3">
        <v>1840</v>
      </c>
      <c r="E29" s="3">
        <v>892</v>
      </c>
      <c r="F29" s="3">
        <v>152.91</v>
      </c>
      <c r="G29" s="3">
        <v>0.04</v>
      </c>
      <c r="H29" s="3">
        <v>496.73</v>
      </c>
      <c r="I29" s="3">
        <v>0.14000000000000001</v>
      </c>
      <c r="J29" s="3">
        <v>39.979999999999997</v>
      </c>
      <c r="K29" s="3">
        <v>124.78</v>
      </c>
      <c r="L29" s="3">
        <v>196.62</v>
      </c>
      <c r="M29" s="3">
        <v>6.94</v>
      </c>
      <c r="N29" s="3">
        <v>14.66</v>
      </c>
      <c r="O29" s="3">
        <v>0</v>
      </c>
      <c r="P29" s="3">
        <v>0</v>
      </c>
      <c r="Q29" s="3">
        <v>0.34</v>
      </c>
      <c r="R29" s="3">
        <v>1.1000000000000001</v>
      </c>
      <c r="S29" s="3">
        <v>29.7</v>
      </c>
      <c r="T29" s="3">
        <v>50.9</v>
      </c>
      <c r="U29" s="3">
        <v>8.3000000000000007</v>
      </c>
      <c r="V29" s="8">
        <f t="shared" si="0"/>
        <v>90</v>
      </c>
      <c r="W29" s="3">
        <v>3.4</v>
      </c>
      <c r="X29" s="3">
        <v>0.9</v>
      </c>
      <c r="Y29" s="8">
        <f t="shared" si="1"/>
        <v>4.3</v>
      </c>
      <c r="Z29" s="3">
        <v>4</v>
      </c>
      <c r="AA29" s="3">
        <v>6.2</v>
      </c>
      <c r="AB29" s="3">
        <v>6.01</v>
      </c>
      <c r="AC29" s="3">
        <v>2.2000000000000002</v>
      </c>
      <c r="AD29" s="3">
        <v>0.56999999999999995</v>
      </c>
      <c r="AE29" s="3">
        <v>0.01</v>
      </c>
      <c r="AF29" s="3">
        <v>0.2</v>
      </c>
      <c r="AG29" s="3">
        <v>0.19</v>
      </c>
      <c r="AH29" s="3">
        <v>0.03</v>
      </c>
      <c r="AI29" s="3">
        <v>0.16</v>
      </c>
      <c r="AJ29" s="3">
        <v>0.1</v>
      </c>
      <c r="AK29" s="3">
        <v>0.03</v>
      </c>
      <c r="AL29" s="3">
        <v>0</v>
      </c>
      <c r="AM29" s="3">
        <v>3.97</v>
      </c>
      <c r="AN29" s="3">
        <v>0.06</v>
      </c>
      <c r="AO29" s="3">
        <v>0</v>
      </c>
      <c r="AP29" s="3">
        <v>7.25</v>
      </c>
      <c r="AQ29" s="3">
        <v>0.06</v>
      </c>
      <c r="AR29" s="3">
        <v>0</v>
      </c>
      <c r="AS29" s="3">
        <v>0.02</v>
      </c>
      <c r="AT29" s="3">
        <v>0.99</v>
      </c>
      <c r="AU29" s="3">
        <v>13.23</v>
      </c>
      <c r="AV29" s="3">
        <v>0</v>
      </c>
      <c r="AW29" s="3">
        <v>3.46</v>
      </c>
      <c r="AX29" s="3">
        <v>1.42</v>
      </c>
      <c r="AY29" s="3">
        <v>3.9</v>
      </c>
      <c r="AZ29" s="3">
        <v>1.84</v>
      </c>
      <c r="BA29" s="3">
        <v>37.5</v>
      </c>
      <c r="BB29" s="3">
        <v>0.41</v>
      </c>
      <c r="BC29" s="3">
        <v>0.02</v>
      </c>
    </row>
    <row r="30" spans="1:55" x14ac:dyDescent="0.3">
      <c r="A30" s="3" t="s">
        <v>137</v>
      </c>
      <c r="B30" s="3" t="s">
        <v>138</v>
      </c>
      <c r="C30" s="3" t="s">
        <v>139</v>
      </c>
      <c r="D30" s="3">
        <v>2195</v>
      </c>
      <c r="E30" s="3">
        <v>1113</v>
      </c>
      <c r="F30" s="3">
        <v>459.82</v>
      </c>
      <c r="G30" s="3">
        <v>0.05</v>
      </c>
      <c r="H30" s="3">
        <v>300.86</v>
      </c>
      <c r="I30" s="3">
        <v>0.51</v>
      </c>
      <c r="J30" s="3">
        <v>28.59</v>
      </c>
      <c r="K30" s="3">
        <v>223.31</v>
      </c>
      <c r="L30" s="3">
        <v>88.3</v>
      </c>
      <c r="M30" s="3">
        <v>46.38</v>
      </c>
      <c r="N30" s="3">
        <v>4.8499999999999996</v>
      </c>
      <c r="O30" s="3">
        <v>0.22</v>
      </c>
      <c r="P30" s="3">
        <v>2.5099999999999998</v>
      </c>
      <c r="Q30" s="3">
        <v>0.23</v>
      </c>
      <c r="R30" s="3">
        <v>10</v>
      </c>
      <c r="S30" s="3">
        <v>18.7</v>
      </c>
      <c r="T30" s="3">
        <v>33.200000000000003</v>
      </c>
      <c r="U30" s="3">
        <v>19.899999999999999</v>
      </c>
      <c r="V30" s="8">
        <f t="shared" si="0"/>
        <v>81.800000000000011</v>
      </c>
      <c r="W30" s="3">
        <v>6</v>
      </c>
      <c r="X30" s="3">
        <v>2</v>
      </c>
      <c r="Y30" s="8">
        <f t="shared" si="1"/>
        <v>8</v>
      </c>
      <c r="Z30" s="3">
        <v>8.4</v>
      </c>
      <c r="AA30" s="3">
        <v>5.88</v>
      </c>
      <c r="AB30" s="3">
        <v>5.32</v>
      </c>
      <c r="AC30" s="3">
        <v>2.1</v>
      </c>
      <c r="AD30" s="3">
        <v>1.72</v>
      </c>
      <c r="AE30" s="3">
        <v>0.02</v>
      </c>
      <c r="AF30" s="3">
        <v>0.3</v>
      </c>
      <c r="AG30" s="3">
        <v>0.28000000000000003</v>
      </c>
      <c r="AH30" s="3">
        <v>0.04</v>
      </c>
      <c r="AI30" s="3">
        <v>0.1</v>
      </c>
      <c r="AJ30" s="3">
        <v>0.05</v>
      </c>
      <c r="AK30" s="3">
        <v>0.04</v>
      </c>
      <c r="AL30" s="3">
        <v>0</v>
      </c>
      <c r="AM30" s="3">
        <v>2.5299999999999998</v>
      </c>
      <c r="AN30" s="3">
        <v>0.09</v>
      </c>
      <c r="AO30" s="3">
        <v>0</v>
      </c>
      <c r="AP30" s="3">
        <v>7.4</v>
      </c>
      <c r="AQ30" s="3">
        <v>0.09</v>
      </c>
      <c r="AR30" s="3">
        <v>0.22</v>
      </c>
      <c r="AS30" s="3">
        <v>0.01</v>
      </c>
      <c r="AT30" s="3">
        <v>3.67</v>
      </c>
      <c r="AU30" s="3">
        <v>31.73</v>
      </c>
      <c r="AV30" s="3">
        <v>0.93</v>
      </c>
      <c r="AW30" s="3">
        <v>32.4</v>
      </c>
      <c r="AX30" s="3">
        <v>2.68</v>
      </c>
      <c r="AY30" s="3">
        <v>8.1999999999999993</v>
      </c>
      <c r="AZ30" s="3">
        <v>5.34</v>
      </c>
      <c r="BA30" s="3">
        <v>15.8</v>
      </c>
      <c r="BB30" s="3">
        <v>1.8</v>
      </c>
      <c r="BC30" s="3">
        <v>0.03</v>
      </c>
    </row>
    <row r="31" spans="1:55" x14ac:dyDescent="0.3">
      <c r="A31" s="3" t="s">
        <v>140</v>
      </c>
      <c r="B31" s="3" t="s">
        <v>141</v>
      </c>
      <c r="C31" s="3" t="s">
        <v>142</v>
      </c>
      <c r="D31" s="3">
        <v>2418</v>
      </c>
      <c r="E31" s="3">
        <v>1172</v>
      </c>
      <c r="F31" s="3">
        <v>464.83</v>
      </c>
      <c r="G31" s="3">
        <v>0.06</v>
      </c>
      <c r="H31" s="3">
        <v>307.58999999999997</v>
      </c>
      <c r="I31" s="3">
        <v>0.35</v>
      </c>
      <c r="J31" s="3">
        <v>28.49</v>
      </c>
      <c r="K31" s="3">
        <v>203.99</v>
      </c>
      <c r="L31" s="3">
        <v>101.32</v>
      </c>
      <c r="M31" s="3">
        <v>34.29</v>
      </c>
      <c r="N31" s="3">
        <v>5.38</v>
      </c>
      <c r="O31" s="3">
        <v>0</v>
      </c>
      <c r="P31" s="3">
        <v>0.8</v>
      </c>
      <c r="Q31" s="3">
        <v>0.14000000000000001</v>
      </c>
      <c r="R31" s="3">
        <v>15.7</v>
      </c>
      <c r="S31" s="3">
        <v>24.5</v>
      </c>
      <c r="T31" s="3">
        <v>27.9</v>
      </c>
      <c r="U31" s="3">
        <v>14.9</v>
      </c>
      <c r="V31" s="8">
        <f t="shared" si="0"/>
        <v>83</v>
      </c>
      <c r="W31" s="3">
        <v>5</v>
      </c>
      <c r="X31" s="3">
        <v>0.7</v>
      </c>
      <c r="Y31" s="8">
        <f t="shared" si="1"/>
        <v>5.7</v>
      </c>
      <c r="Z31" s="3">
        <v>9.3000000000000007</v>
      </c>
      <c r="AA31" s="3">
        <v>5.85</v>
      </c>
      <c r="AB31" s="3">
        <v>5.3</v>
      </c>
      <c r="AC31" s="3">
        <v>2</v>
      </c>
      <c r="AD31" s="3">
        <v>0.56999999999999995</v>
      </c>
      <c r="AE31" s="3">
        <v>0.01</v>
      </c>
      <c r="AF31" s="3">
        <v>0.26</v>
      </c>
      <c r="AG31" s="3">
        <v>0.25</v>
      </c>
      <c r="AH31" s="3">
        <v>0.04</v>
      </c>
      <c r="AI31" s="3">
        <v>0.11</v>
      </c>
      <c r="AJ31" s="3">
        <v>0.06</v>
      </c>
      <c r="AK31" s="3">
        <v>0.04</v>
      </c>
      <c r="AL31" s="3">
        <v>0</v>
      </c>
      <c r="AM31" s="3">
        <v>14.08</v>
      </c>
      <c r="AN31" s="3">
        <v>0.1</v>
      </c>
      <c r="AO31" s="3">
        <v>0</v>
      </c>
      <c r="AP31" s="3">
        <v>1.49</v>
      </c>
      <c r="AQ31" s="3">
        <v>0.1</v>
      </c>
      <c r="AR31" s="3">
        <v>0.26</v>
      </c>
      <c r="AS31" s="3">
        <v>0.05</v>
      </c>
      <c r="AT31" s="3">
        <v>4.2300000000000004</v>
      </c>
      <c r="AU31" s="3">
        <v>33.03</v>
      </c>
      <c r="AV31" s="3">
        <v>1.82</v>
      </c>
      <c r="AW31" s="3">
        <v>41</v>
      </c>
      <c r="AX31" s="3">
        <v>3.04</v>
      </c>
      <c r="AY31" s="3">
        <v>9.84</v>
      </c>
      <c r="AZ31" s="3">
        <v>6.85</v>
      </c>
      <c r="BA31" s="3">
        <v>35.799999999999997</v>
      </c>
      <c r="BB31" s="3">
        <v>1.96</v>
      </c>
      <c r="BC31" s="3">
        <v>0.03</v>
      </c>
    </row>
    <row r="32" spans="1:55" x14ac:dyDescent="0.3">
      <c r="A32" s="3" t="s">
        <v>143</v>
      </c>
      <c r="B32" s="3" t="s">
        <v>144</v>
      </c>
      <c r="C32" s="3" t="s">
        <v>145</v>
      </c>
      <c r="D32" s="3">
        <v>1904</v>
      </c>
      <c r="E32" s="3">
        <v>940</v>
      </c>
      <c r="F32" s="3">
        <v>243.94</v>
      </c>
      <c r="G32" s="3">
        <v>0.08</v>
      </c>
      <c r="H32" s="3">
        <v>228.72</v>
      </c>
      <c r="I32" s="3">
        <v>0.15</v>
      </c>
      <c r="J32" s="3">
        <v>56.59</v>
      </c>
      <c r="K32" s="3">
        <v>86.63</v>
      </c>
      <c r="L32" s="3">
        <v>80.2</v>
      </c>
      <c r="M32" s="3">
        <v>9.6999999999999993</v>
      </c>
      <c r="N32" s="3">
        <v>11.05</v>
      </c>
      <c r="O32" s="3">
        <v>1.34</v>
      </c>
      <c r="P32" s="3">
        <v>0.6</v>
      </c>
      <c r="Q32" s="3">
        <v>0.3</v>
      </c>
      <c r="R32" s="3">
        <v>1.8</v>
      </c>
      <c r="S32" s="3">
        <v>22.5</v>
      </c>
      <c r="T32" s="3">
        <v>57.4</v>
      </c>
      <c r="U32" s="3">
        <v>10.199999999999999</v>
      </c>
      <c r="V32" s="8">
        <f t="shared" si="0"/>
        <v>91.9</v>
      </c>
      <c r="W32" s="3">
        <v>4.4000000000000004</v>
      </c>
      <c r="X32" s="3">
        <v>0.5</v>
      </c>
      <c r="Y32" s="8">
        <f t="shared" si="1"/>
        <v>4.9000000000000004</v>
      </c>
      <c r="Z32" s="3">
        <v>1.6</v>
      </c>
      <c r="AA32" s="3">
        <v>6.01</v>
      </c>
      <c r="AB32" s="3">
        <v>6.17</v>
      </c>
      <c r="AC32" s="3">
        <v>1.4</v>
      </c>
      <c r="AD32" s="3">
        <v>2.29</v>
      </c>
      <c r="AE32" s="3">
        <v>0.03</v>
      </c>
      <c r="AF32" s="3">
        <v>0.28000000000000003</v>
      </c>
      <c r="AG32" s="3">
        <v>0.25</v>
      </c>
      <c r="AH32" s="3">
        <v>0.03</v>
      </c>
      <c r="AI32" s="3">
        <v>0.08</v>
      </c>
      <c r="AJ32" s="3">
        <v>0.05</v>
      </c>
      <c r="AK32" s="3">
        <v>0.02</v>
      </c>
      <c r="AL32" s="3">
        <v>0</v>
      </c>
      <c r="AM32" s="3">
        <v>5.43</v>
      </c>
      <c r="AN32" s="3">
        <v>0.06</v>
      </c>
      <c r="AO32" s="3">
        <v>0</v>
      </c>
      <c r="AP32" s="3">
        <v>2.76</v>
      </c>
      <c r="AQ32" s="3">
        <v>0.06</v>
      </c>
      <c r="AR32" s="3">
        <v>0</v>
      </c>
      <c r="AS32" s="3">
        <v>0.06</v>
      </c>
      <c r="AT32" s="3">
        <v>0.81</v>
      </c>
      <c r="AU32" s="3">
        <v>4.37</v>
      </c>
      <c r="AV32" s="3">
        <v>0</v>
      </c>
      <c r="AW32" s="3">
        <v>1.75</v>
      </c>
      <c r="AX32" s="3">
        <v>0.82</v>
      </c>
      <c r="AY32" s="3">
        <v>1.29</v>
      </c>
      <c r="AZ32" s="3">
        <v>1.23</v>
      </c>
      <c r="BA32" s="3">
        <v>18.2</v>
      </c>
      <c r="BB32" s="3">
        <v>0.34</v>
      </c>
      <c r="BC32" s="3">
        <v>0.01</v>
      </c>
    </row>
    <row r="33" spans="1:55" x14ac:dyDescent="0.3">
      <c r="A33" s="3" t="s">
        <v>146</v>
      </c>
      <c r="B33" s="3" t="s">
        <v>147</v>
      </c>
      <c r="C33" s="3" t="s">
        <v>148</v>
      </c>
      <c r="D33" s="3">
        <v>1850</v>
      </c>
      <c r="E33" s="3">
        <v>850</v>
      </c>
      <c r="F33" s="3">
        <v>167</v>
      </c>
      <c r="G33" s="3">
        <v>7.0000000000000007E-2</v>
      </c>
      <c r="H33" s="3">
        <v>90.98</v>
      </c>
      <c r="I33" s="3">
        <v>0.05</v>
      </c>
      <c r="J33" s="3">
        <v>42.7</v>
      </c>
      <c r="K33" s="3">
        <v>69.16</v>
      </c>
      <c r="L33" s="3">
        <v>50.77</v>
      </c>
      <c r="M33" s="3">
        <v>4.9400000000000004</v>
      </c>
      <c r="N33" s="3">
        <v>15.29</v>
      </c>
      <c r="O33" s="3">
        <v>0</v>
      </c>
      <c r="P33" s="3">
        <v>0</v>
      </c>
      <c r="Q33" s="3">
        <v>0.21</v>
      </c>
      <c r="R33" s="3">
        <v>3</v>
      </c>
      <c r="S33" s="3">
        <v>29</v>
      </c>
      <c r="T33" s="3">
        <v>53.8</v>
      </c>
      <c r="U33" s="3">
        <v>8</v>
      </c>
      <c r="V33" s="8">
        <f t="shared" si="0"/>
        <v>93.8</v>
      </c>
      <c r="W33" s="3">
        <v>3.3</v>
      </c>
      <c r="X33" s="3">
        <v>0.2</v>
      </c>
      <c r="Y33" s="8">
        <f t="shared" si="1"/>
        <v>3.5</v>
      </c>
      <c r="Z33" s="3">
        <v>1.3</v>
      </c>
      <c r="AA33" s="3">
        <v>6.27</v>
      </c>
      <c r="AB33" s="3">
        <v>6.28</v>
      </c>
      <c r="AC33" s="3">
        <v>1.5</v>
      </c>
      <c r="AD33" s="3">
        <v>0.38</v>
      </c>
      <c r="AE33" s="3">
        <v>0</v>
      </c>
      <c r="AF33" s="3">
        <v>0.13</v>
      </c>
      <c r="AG33" s="3">
        <v>0.12</v>
      </c>
      <c r="AH33" s="3">
        <v>0.02</v>
      </c>
      <c r="AI33" s="3">
        <v>0.04</v>
      </c>
      <c r="AJ33" s="3">
        <v>0.04</v>
      </c>
      <c r="AK33" s="3">
        <v>0.02</v>
      </c>
      <c r="AL33" s="3">
        <v>0</v>
      </c>
      <c r="AM33" s="3">
        <v>5.56</v>
      </c>
      <c r="AN33" s="3">
        <v>0.06</v>
      </c>
      <c r="AO33" s="3">
        <v>0</v>
      </c>
      <c r="AP33" s="3">
        <v>1.71</v>
      </c>
      <c r="AQ33" s="3">
        <v>0.06</v>
      </c>
      <c r="AR33" s="3">
        <v>0</v>
      </c>
      <c r="AS33" s="3">
        <v>0.02</v>
      </c>
      <c r="AT33" s="3">
        <v>0.56999999999999995</v>
      </c>
      <c r="AU33" s="3">
        <v>3.69</v>
      </c>
      <c r="AV33" s="3">
        <v>0.96</v>
      </c>
      <c r="AW33" s="3">
        <v>1.45</v>
      </c>
      <c r="AX33" s="3">
        <v>0.54</v>
      </c>
      <c r="AY33" s="3">
        <v>2.6</v>
      </c>
      <c r="AZ33" s="3">
        <v>1.81</v>
      </c>
      <c r="BA33" s="3">
        <v>17.100000000000001</v>
      </c>
      <c r="BB33" s="3">
        <v>0.31</v>
      </c>
      <c r="BC33" s="3">
        <v>0.01</v>
      </c>
    </row>
    <row r="34" spans="1:55" x14ac:dyDescent="0.3">
      <c r="A34" s="3" t="s">
        <v>149</v>
      </c>
      <c r="B34" s="3" t="s">
        <v>150</v>
      </c>
      <c r="C34" s="3" t="s">
        <v>151</v>
      </c>
      <c r="D34" s="3">
        <v>1801</v>
      </c>
      <c r="E34" s="3">
        <v>1159</v>
      </c>
      <c r="F34" s="3">
        <v>226.96</v>
      </c>
      <c r="G34" s="3">
        <v>0.36</v>
      </c>
      <c r="H34" s="3">
        <v>2521.6999999999998</v>
      </c>
      <c r="I34" s="3">
        <v>1.51</v>
      </c>
      <c r="J34" s="3">
        <v>39.49</v>
      </c>
      <c r="K34" s="3">
        <v>186.06</v>
      </c>
      <c r="L34" s="3">
        <v>523.95000000000005</v>
      </c>
      <c r="M34" s="3">
        <v>66.09</v>
      </c>
      <c r="N34" s="3">
        <v>48.85</v>
      </c>
      <c r="O34" s="3">
        <v>24.6</v>
      </c>
      <c r="P34" s="3">
        <v>7.54</v>
      </c>
      <c r="Q34" s="3">
        <v>6.47</v>
      </c>
      <c r="R34" s="3">
        <v>53.1</v>
      </c>
      <c r="S34" s="3">
        <v>21.1</v>
      </c>
      <c r="T34" s="3">
        <v>9.9</v>
      </c>
      <c r="U34" s="3">
        <v>4.3</v>
      </c>
      <c r="V34" s="8">
        <f t="shared" si="0"/>
        <v>88.4</v>
      </c>
      <c r="W34" s="3">
        <v>4.9000000000000004</v>
      </c>
      <c r="X34" s="3">
        <v>2.2000000000000002</v>
      </c>
      <c r="Y34" s="8">
        <f t="shared" si="1"/>
        <v>7.1000000000000005</v>
      </c>
      <c r="Z34" s="3">
        <v>3.3</v>
      </c>
      <c r="AA34" s="3">
        <v>7.92</v>
      </c>
      <c r="AB34" s="3">
        <v>7.83</v>
      </c>
      <c r="AC34" s="3">
        <v>7.1</v>
      </c>
      <c r="AD34" s="3">
        <v>3.63</v>
      </c>
      <c r="AE34" s="3">
        <v>0.04</v>
      </c>
      <c r="AF34" s="3">
        <v>0.55000000000000004</v>
      </c>
      <c r="AG34" s="3">
        <v>0.51</v>
      </c>
      <c r="AH34" s="3">
        <v>0.09</v>
      </c>
      <c r="AI34" s="3">
        <v>0.7</v>
      </c>
      <c r="AJ34" s="3">
        <v>0.27</v>
      </c>
      <c r="AK34" s="3">
        <v>0.04</v>
      </c>
      <c r="AL34" s="3">
        <v>0.02</v>
      </c>
      <c r="AM34" s="3">
        <v>7.01</v>
      </c>
      <c r="AN34" s="3">
        <v>0.02</v>
      </c>
      <c r="AO34" s="3">
        <v>0</v>
      </c>
      <c r="AP34" s="3">
        <v>14.62</v>
      </c>
      <c r="AQ34" s="3">
        <v>0.02</v>
      </c>
      <c r="AR34" s="3">
        <v>0.92</v>
      </c>
      <c r="AS34" s="3">
        <v>0.16</v>
      </c>
      <c r="AT34" s="3">
        <v>11.71</v>
      </c>
      <c r="AU34" s="3">
        <v>59.53</v>
      </c>
      <c r="AV34" s="3">
        <v>1.02</v>
      </c>
      <c r="AW34" s="3">
        <v>37.5</v>
      </c>
      <c r="AX34" s="3">
        <v>11.74</v>
      </c>
      <c r="AY34" s="3">
        <v>52.6</v>
      </c>
      <c r="AZ34" s="3">
        <v>45.27</v>
      </c>
      <c r="BA34" s="3">
        <v>105</v>
      </c>
      <c r="BB34" s="3">
        <v>8.67</v>
      </c>
      <c r="BC34" s="3">
        <v>0.31</v>
      </c>
    </row>
    <row r="35" spans="1:55" x14ac:dyDescent="0.3">
      <c r="A35" s="3" t="s">
        <v>152</v>
      </c>
      <c r="B35" s="3" t="s">
        <v>153</v>
      </c>
      <c r="C35" s="3" t="s">
        <v>154</v>
      </c>
      <c r="D35" s="3">
        <v>626</v>
      </c>
      <c r="E35" s="3">
        <v>809</v>
      </c>
      <c r="F35" s="3">
        <v>273.89999999999998</v>
      </c>
      <c r="G35" s="3">
        <v>0.2</v>
      </c>
      <c r="H35" s="3">
        <v>2528.69</v>
      </c>
      <c r="I35" s="3">
        <v>1.05</v>
      </c>
      <c r="J35" s="3">
        <v>44.58</v>
      </c>
      <c r="K35" s="3">
        <v>186.18</v>
      </c>
      <c r="L35" s="3">
        <v>521.6</v>
      </c>
      <c r="M35" s="3">
        <v>68.180000000000007</v>
      </c>
      <c r="N35" s="3">
        <v>59.15</v>
      </c>
      <c r="O35" s="3">
        <v>14.5</v>
      </c>
      <c r="P35" s="3">
        <v>11.1</v>
      </c>
      <c r="Q35" s="3">
        <v>1.1599999999999999</v>
      </c>
      <c r="R35" s="3">
        <v>76.8</v>
      </c>
      <c r="S35" s="3">
        <v>6.8</v>
      </c>
      <c r="T35" s="3">
        <v>2.9</v>
      </c>
      <c r="U35" s="3">
        <v>2.7</v>
      </c>
      <c r="V35" s="8">
        <f t="shared" si="0"/>
        <v>89.2</v>
      </c>
      <c r="W35" s="3">
        <v>5.3</v>
      </c>
      <c r="X35" s="3">
        <v>2</v>
      </c>
      <c r="Y35" s="8">
        <f t="shared" si="1"/>
        <v>7.3</v>
      </c>
      <c r="Z35" s="3">
        <v>2.2000000000000002</v>
      </c>
      <c r="AA35" s="3">
        <v>8.35</v>
      </c>
      <c r="AB35" s="3">
        <v>7.92</v>
      </c>
      <c r="AC35" s="3">
        <v>6.4</v>
      </c>
      <c r="AD35" s="3">
        <v>5.73</v>
      </c>
      <c r="AE35" s="3">
        <v>7.0000000000000007E-2</v>
      </c>
      <c r="AF35" s="3">
        <v>0.31</v>
      </c>
      <c r="AG35" s="3">
        <v>0.24</v>
      </c>
      <c r="AH35" s="3">
        <v>0.08</v>
      </c>
      <c r="AI35" s="3">
        <v>0.59</v>
      </c>
      <c r="AJ35" s="3">
        <v>0.25</v>
      </c>
      <c r="AK35" s="3">
        <v>0.03</v>
      </c>
      <c r="AL35" s="3">
        <v>0.02</v>
      </c>
      <c r="AM35" s="3">
        <v>6.9</v>
      </c>
      <c r="AN35" s="3">
        <v>0</v>
      </c>
      <c r="AO35" s="3">
        <v>0</v>
      </c>
      <c r="AP35" s="3">
        <v>12.86</v>
      </c>
      <c r="AQ35" s="3">
        <v>0</v>
      </c>
      <c r="AR35" s="3">
        <v>1.04</v>
      </c>
      <c r="AS35" s="3">
        <v>0.22</v>
      </c>
      <c r="AT35" s="3">
        <v>11.21</v>
      </c>
      <c r="AU35" s="3">
        <v>70.53</v>
      </c>
      <c r="AV35" s="3">
        <v>0.34</v>
      </c>
      <c r="AW35" s="3">
        <v>48.7</v>
      </c>
      <c r="AX35" s="3">
        <v>12.61</v>
      </c>
      <c r="AY35" s="3">
        <v>59.9</v>
      </c>
      <c r="AZ35" s="3">
        <v>50.17</v>
      </c>
      <c r="BA35" s="3">
        <v>194</v>
      </c>
      <c r="BB35" s="3">
        <v>9.2200000000000006</v>
      </c>
      <c r="BC35" s="3">
        <v>0.28000000000000003</v>
      </c>
    </row>
    <row r="36" spans="1:55" x14ac:dyDescent="0.3">
      <c r="A36" s="3" t="s">
        <v>155</v>
      </c>
      <c r="B36" s="3" t="s">
        <v>156</v>
      </c>
      <c r="C36" s="3" t="s">
        <v>157</v>
      </c>
      <c r="D36" s="3">
        <v>47</v>
      </c>
      <c r="E36" s="3">
        <v>178</v>
      </c>
      <c r="F36" s="3">
        <v>162.94999999999999</v>
      </c>
      <c r="G36" s="3">
        <v>0.06</v>
      </c>
      <c r="H36" s="3">
        <v>200.77</v>
      </c>
      <c r="I36" s="3">
        <v>0.17</v>
      </c>
      <c r="J36" s="3">
        <v>47.88</v>
      </c>
      <c r="K36" s="3">
        <v>26.05</v>
      </c>
      <c r="L36" s="3">
        <v>14.54</v>
      </c>
      <c r="M36" s="3">
        <v>6.16</v>
      </c>
      <c r="N36" s="3">
        <v>3.97</v>
      </c>
      <c r="O36" s="3">
        <v>5.32</v>
      </c>
      <c r="P36" s="3">
        <v>0.83</v>
      </c>
      <c r="Q36" s="3">
        <v>0.06</v>
      </c>
      <c r="R36" s="3">
        <v>0.6</v>
      </c>
      <c r="S36" s="3">
        <v>45.6</v>
      </c>
      <c r="T36" s="3">
        <v>43.4</v>
      </c>
      <c r="U36" s="3">
        <v>4.7</v>
      </c>
      <c r="V36" s="8">
        <f t="shared" si="0"/>
        <v>94.3</v>
      </c>
      <c r="W36" s="3">
        <v>3.6</v>
      </c>
      <c r="X36" s="3">
        <v>0.3</v>
      </c>
      <c r="Y36" s="8">
        <f t="shared" si="1"/>
        <v>3.9</v>
      </c>
      <c r="Z36" s="3">
        <v>0.4</v>
      </c>
      <c r="AA36" s="3">
        <v>5.55</v>
      </c>
      <c r="AB36" s="3">
        <v>5</v>
      </c>
      <c r="AC36" s="3">
        <v>1.3</v>
      </c>
      <c r="AD36" s="3">
        <v>0</v>
      </c>
      <c r="AE36" s="3">
        <v>0</v>
      </c>
      <c r="AF36" s="3">
        <v>0.57999999999999996</v>
      </c>
      <c r="AG36" s="3">
        <v>0.57999999999999996</v>
      </c>
      <c r="AH36" s="3">
        <v>0.04</v>
      </c>
      <c r="AI36" s="3">
        <v>0.05</v>
      </c>
      <c r="AJ36" s="3">
        <v>0.01</v>
      </c>
      <c r="AK36" s="3">
        <v>0.01</v>
      </c>
      <c r="AL36" s="3">
        <v>0</v>
      </c>
      <c r="AM36" s="3">
        <v>2.31</v>
      </c>
      <c r="AN36" s="3">
        <v>0.17</v>
      </c>
      <c r="AO36" s="3">
        <v>0</v>
      </c>
      <c r="AP36" s="3">
        <v>3.07</v>
      </c>
      <c r="AQ36" s="3">
        <v>0.17</v>
      </c>
      <c r="AR36" s="3">
        <v>0</v>
      </c>
      <c r="AS36" s="3">
        <v>0.02</v>
      </c>
      <c r="AT36" s="3">
        <v>0.54</v>
      </c>
      <c r="AU36" s="3">
        <v>2</v>
      </c>
      <c r="AV36" s="3">
        <v>0</v>
      </c>
      <c r="AW36" s="3">
        <v>0.19</v>
      </c>
      <c r="AX36" s="3">
        <v>0.19</v>
      </c>
      <c r="AY36" s="3">
        <v>1.38</v>
      </c>
      <c r="AZ36" s="3">
        <v>1.1299999999999999</v>
      </c>
      <c r="BA36" s="3">
        <v>39.9</v>
      </c>
      <c r="BB36" s="3">
        <v>0.25</v>
      </c>
      <c r="BC36" s="3">
        <v>0.01</v>
      </c>
    </row>
    <row r="37" spans="1:55" x14ac:dyDescent="0.3">
      <c r="A37" s="3" t="s">
        <v>158</v>
      </c>
      <c r="B37" s="3" t="s">
        <v>159</v>
      </c>
      <c r="C37" s="3" t="s">
        <v>160</v>
      </c>
      <c r="D37" s="3">
        <v>44</v>
      </c>
      <c r="E37" s="3">
        <v>152</v>
      </c>
      <c r="F37" s="3">
        <v>152.94</v>
      </c>
      <c r="G37" s="3">
        <v>7.0000000000000007E-2</v>
      </c>
      <c r="H37" s="3">
        <v>63.7</v>
      </c>
      <c r="I37" s="3">
        <v>-0.01</v>
      </c>
      <c r="J37" s="3">
        <v>50.18</v>
      </c>
      <c r="K37" s="3">
        <v>16.97</v>
      </c>
      <c r="L37" s="3">
        <v>5.16</v>
      </c>
      <c r="M37" s="3">
        <v>0.24</v>
      </c>
      <c r="N37" s="3">
        <v>3.39</v>
      </c>
      <c r="O37" s="3">
        <v>4.13</v>
      </c>
      <c r="P37" s="3">
        <v>0.25</v>
      </c>
      <c r="Q37" s="3">
        <v>0.06</v>
      </c>
      <c r="R37" s="3">
        <v>0.3</v>
      </c>
      <c r="S37" s="3">
        <v>42.4</v>
      </c>
      <c r="T37" s="3">
        <v>45.5</v>
      </c>
      <c r="U37" s="3">
        <v>5.8</v>
      </c>
      <c r="V37" s="8">
        <f t="shared" si="0"/>
        <v>93.999999999999986</v>
      </c>
      <c r="W37" s="3">
        <v>4.4000000000000004</v>
      </c>
      <c r="X37" s="3">
        <v>0.1</v>
      </c>
      <c r="Y37" s="8">
        <f t="shared" si="1"/>
        <v>4.5</v>
      </c>
      <c r="Z37" s="3">
        <v>0.4</v>
      </c>
      <c r="AA37" s="3">
        <v>5.32</v>
      </c>
      <c r="AB37" s="3">
        <v>4.92</v>
      </c>
      <c r="AC37" s="3">
        <v>1</v>
      </c>
      <c r="AD37" s="3">
        <v>0</v>
      </c>
      <c r="AE37" s="3">
        <v>0</v>
      </c>
      <c r="AF37" s="3">
        <v>0.33</v>
      </c>
      <c r="AG37" s="3">
        <v>0.33</v>
      </c>
      <c r="AH37" s="3">
        <v>0.02</v>
      </c>
      <c r="AI37" s="3">
        <v>0.02</v>
      </c>
      <c r="AJ37" s="3">
        <v>0.01</v>
      </c>
      <c r="AK37" s="3">
        <v>0.01</v>
      </c>
      <c r="AL37" s="3">
        <v>0</v>
      </c>
      <c r="AM37" s="3">
        <v>1.0900000000000001</v>
      </c>
      <c r="AN37" s="3">
        <v>0.23</v>
      </c>
      <c r="AO37" s="3">
        <v>0</v>
      </c>
      <c r="AP37" s="3">
        <v>3.55</v>
      </c>
      <c r="AQ37" s="3">
        <v>0.23</v>
      </c>
      <c r="AR37" s="3">
        <v>0</v>
      </c>
      <c r="AS37" s="3">
        <v>0.03</v>
      </c>
      <c r="AT37" s="3">
        <v>0.6</v>
      </c>
      <c r="AU37" s="3">
        <v>2.2200000000000002</v>
      </c>
      <c r="AV37" s="3">
        <v>0.02</v>
      </c>
      <c r="AW37" s="3">
        <v>0.52</v>
      </c>
      <c r="AX37" s="3">
        <v>0.26</v>
      </c>
      <c r="AY37" s="3">
        <v>6.96</v>
      </c>
      <c r="AZ37" s="3">
        <v>2.2400000000000002</v>
      </c>
      <c r="BA37" s="3">
        <v>15.3</v>
      </c>
      <c r="BB37" s="3">
        <v>0.23</v>
      </c>
      <c r="BC37" s="3">
        <v>0.03</v>
      </c>
    </row>
    <row r="38" spans="1:55" x14ac:dyDescent="0.3">
      <c r="A38" s="3" t="s">
        <v>161</v>
      </c>
      <c r="B38" s="3" t="s">
        <v>162</v>
      </c>
      <c r="C38" s="3" t="s">
        <v>163</v>
      </c>
      <c r="D38" s="3">
        <v>1817</v>
      </c>
      <c r="E38" s="3">
        <v>952</v>
      </c>
      <c r="F38" s="3">
        <v>227.88</v>
      </c>
      <c r="G38" s="3">
        <v>0.12</v>
      </c>
      <c r="H38" s="3">
        <v>77.91</v>
      </c>
      <c r="I38" s="3">
        <v>0.14000000000000001</v>
      </c>
      <c r="J38" s="3">
        <v>67.56</v>
      </c>
      <c r="K38" s="3">
        <v>17.21</v>
      </c>
      <c r="L38" s="3">
        <v>8.94</v>
      </c>
      <c r="M38" s="3">
        <v>1.84</v>
      </c>
      <c r="N38" s="3">
        <v>3.91</v>
      </c>
      <c r="O38" s="3">
        <v>2.61</v>
      </c>
      <c r="P38" s="3">
        <v>0.28999999999999998</v>
      </c>
      <c r="Q38" s="3">
        <v>0.15</v>
      </c>
      <c r="R38" s="3">
        <v>0.7</v>
      </c>
      <c r="S38" s="3">
        <v>46.4</v>
      </c>
      <c r="T38" s="3">
        <v>43.1</v>
      </c>
      <c r="U38" s="3">
        <v>4.4000000000000004</v>
      </c>
      <c r="V38" s="8">
        <f t="shared" si="0"/>
        <v>94.600000000000009</v>
      </c>
      <c r="W38" s="3">
        <v>4</v>
      </c>
      <c r="X38" s="3">
        <v>0.3</v>
      </c>
      <c r="Y38" s="8">
        <f t="shared" si="1"/>
        <v>4.3</v>
      </c>
      <c r="Z38" s="3">
        <v>0.1</v>
      </c>
      <c r="AA38" s="3">
        <v>4.5199999999999996</v>
      </c>
      <c r="AB38" s="3">
        <v>4.04</v>
      </c>
      <c r="AC38" s="3">
        <v>1.4</v>
      </c>
      <c r="AD38" s="3">
        <v>3.02</v>
      </c>
      <c r="AE38" s="3">
        <v>0.04</v>
      </c>
      <c r="AF38" s="3">
        <v>0.94</v>
      </c>
      <c r="AG38" s="3">
        <v>0.91</v>
      </c>
      <c r="AH38" s="3">
        <v>0.06</v>
      </c>
      <c r="AI38" s="3">
        <v>0.02</v>
      </c>
      <c r="AJ38" s="3">
        <v>0.01</v>
      </c>
      <c r="AK38" s="3">
        <v>0.01</v>
      </c>
      <c r="AL38" s="3">
        <v>0</v>
      </c>
      <c r="AM38" s="3">
        <v>1.38</v>
      </c>
      <c r="AN38" s="3">
        <v>0.42</v>
      </c>
      <c r="AO38" s="3">
        <v>0</v>
      </c>
      <c r="AP38" s="3">
        <v>3.1</v>
      </c>
      <c r="AQ38" s="3">
        <v>0.42</v>
      </c>
      <c r="AR38" s="3">
        <v>0</v>
      </c>
      <c r="AS38" s="3">
        <v>0.01</v>
      </c>
      <c r="AT38" s="3">
        <v>0.62</v>
      </c>
      <c r="AU38" s="3">
        <v>1.59</v>
      </c>
      <c r="AV38" s="3">
        <v>0</v>
      </c>
      <c r="AW38" s="3">
        <v>0.41</v>
      </c>
      <c r="AX38" s="3">
        <v>0.18</v>
      </c>
      <c r="AY38" s="3">
        <v>4.1399999999999997</v>
      </c>
      <c r="AZ38" s="3">
        <v>1.03</v>
      </c>
      <c r="BA38" s="3">
        <v>39.4</v>
      </c>
      <c r="BB38" s="3">
        <v>0.24</v>
      </c>
      <c r="BC38" s="3">
        <v>0.01</v>
      </c>
    </row>
    <row r="39" spans="1:55" x14ac:dyDescent="0.3">
      <c r="A39" s="3" t="s">
        <v>164</v>
      </c>
      <c r="B39" s="3" t="s">
        <v>165</v>
      </c>
      <c r="C39" s="3" t="s">
        <v>166</v>
      </c>
      <c r="D39" s="3">
        <v>1919</v>
      </c>
      <c r="E39" s="3">
        <v>939</v>
      </c>
      <c r="F39" s="3">
        <v>158.9</v>
      </c>
      <c r="G39" s="3">
        <v>0.08</v>
      </c>
      <c r="H39" s="3">
        <v>7.99</v>
      </c>
      <c r="I39" s="3">
        <v>0.11</v>
      </c>
      <c r="J39" s="3">
        <v>62.66</v>
      </c>
      <c r="K39" s="3">
        <v>13.34</v>
      </c>
      <c r="L39" s="3">
        <v>3.48</v>
      </c>
      <c r="M39" s="3">
        <v>-0.36</v>
      </c>
      <c r="N39" s="3">
        <v>3.31</v>
      </c>
      <c r="O39" s="3">
        <v>3.47</v>
      </c>
      <c r="P39" s="3">
        <v>0</v>
      </c>
      <c r="Q39" s="3">
        <v>0.22</v>
      </c>
      <c r="R39" s="3">
        <v>1</v>
      </c>
      <c r="S39" s="3">
        <v>42.9</v>
      </c>
      <c r="T39" s="3">
        <v>43.1</v>
      </c>
      <c r="U39" s="3">
        <v>6</v>
      </c>
      <c r="V39" s="8">
        <f t="shared" si="0"/>
        <v>93</v>
      </c>
      <c r="W39" s="3">
        <v>5.2</v>
      </c>
      <c r="X39" s="3">
        <v>0.4</v>
      </c>
      <c r="Y39" s="8">
        <f t="shared" si="1"/>
        <v>5.6000000000000005</v>
      </c>
      <c r="Z39" s="3">
        <v>0.1</v>
      </c>
      <c r="AA39" s="3">
        <v>4.87</v>
      </c>
      <c r="AB39" s="3">
        <v>4.46</v>
      </c>
      <c r="AC39" s="3">
        <v>0.9</v>
      </c>
      <c r="AD39" s="3">
        <v>0</v>
      </c>
      <c r="AE39" s="3">
        <v>0</v>
      </c>
      <c r="AF39" s="3">
        <v>0.3</v>
      </c>
      <c r="AG39" s="3">
        <v>0.3</v>
      </c>
      <c r="AH39" s="3">
        <v>0.02</v>
      </c>
      <c r="AI39" s="3">
        <v>0.01</v>
      </c>
      <c r="AJ39" s="3">
        <v>0.01</v>
      </c>
      <c r="AK39" s="3">
        <v>0.01</v>
      </c>
      <c r="AL39" s="3">
        <v>0</v>
      </c>
      <c r="AM39" s="3">
        <v>0.59</v>
      </c>
      <c r="AN39" s="3">
        <v>0.32</v>
      </c>
      <c r="AO39" s="3">
        <v>0</v>
      </c>
      <c r="AP39" s="3">
        <v>3.69</v>
      </c>
      <c r="AQ39" s="3">
        <v>0.32</v>
      </c>
      <c r="AR39" s="3">
        <v>0</v>
      </c>
      <c r="AS39" s="3">
        <v>0.01</v>
      </c>
      <c r="AT39" s="3">
        <v>0.47</v>
      </c>
      <c r="AU39" s="3">
        <v>1.57</v>
      </c>
      <c r="AV39" s="3">
        <v>0</v>
      </c>
      <c r="AW39" s="3">
        <v>0</v>
      </c>
      <c r="AX39" s="3">
        <v>0.13</v>
      </c>
      <c r="AY39" s="3">
        <v>1.4</v>
      </c>
      <c r="AZ39" s="3">
        <v>0.91</v>
      </c>
      <c r="BA39" s="3">
        <v>96.1</v>
      </c>
      <c r="BB39" s="3">
        <v>0.21</v>
      </c>
      <c r="BC39" s="3">
        <v>0.01</v>
      </c>
    </row>
    <row r="40" spans="1:55" x14ac:dyDescent="0.3">
      <c r="A40" s="3" t="s">
        <v>167</v>
      </c>
      <c r="B40" s="3" t="s">
        <v>168</v>
      </c>
      <c r="C40" s="3" t="s">
        <v>169</v>
      </c>
      <c r="D40" s="3">
        <v>2000</v>
      </c>
      <c r="E40" s="3">
        <v>1028</v>
      </c>
      <c r="F40" s="3">
        <v>302.87</v>
      </c>
      <c r="G40" s="3">
        <v>0.08</v>
      </c>
      <c r="H40" s="3">
        <v>209.6</v>
      </c>
      <c r="I40" s="3">
        <v>0.2</v>
      </c>
      <c r="J40" s="3">
        <v>49.68</v>
      </c>
      <c r="K40" s="3">
        <v>93.05</v>
      </c>
      <c r="L40" s="3">
        <v>87.22</v>
      </c>
      <c r="M40" s="3">
        <v>9.89</v>
      </c>
      <c r="N40" s="3">
        <v>50.1</v>
      </c>
      <c r="O40" s="3">
        <v>1.1299999999999999</v>
      </c>
      <c r="P40" s="3">
        <v>0</v>
      </c>
      <c r="Q40" s="3">
        <v>0.17</v>
      </c>
      <c r="R40" s="3">
        <v>22.3</v>
      </c>
      <c r="S40" s="3">
        <v>36.200000000000003</v>
      </c>
      <c r="T40" s="3">
        <v>26.3</v>
      </c>
      <c r="U40" s="3">
        <v>6.1</v>
      </c>
      <c r="V40" s="8">
        <f t="shared" si="0"/>
        <v>90.899999999999991</v>
      </c>
      <c r="W40" s="3">
        <v>4.5</v>
      </c>
      <c r="X40" s="3">
        <v>1.8</v>
      </c>
      <c r="Y40" s="8">
        <f t="shared" si="1"/>
        <v>6.3</v>
      </c>
      <c r="Z40" s="3">
        <v>1.7</v>
      </c>
      <c r="AA40" s="3">
        <v>5.77</v>
      </c>
      <c r="AB40" s="3">
        <v>5.77</v>
      </c>
      <c r="AC40" s="3">
        <v>1.9</v>
      </c>
      <c r="AD40" s="3">
        <v>0.6</v>
      </c>
      <c r="AE40" s="3">
        <v>0.01</v>
      </c>
      <c r="AF40" s="3">
        <v>0.2</v>
      </c>
      <c r="AG40" s="3">
        <v>0.19</v>
      </c>
      <c r="AH40" s="3">
        <v>0.02</v>
      </c>
      <c r="AI40" s="3">
        <v>7.0000000000000007E-2</v>
      </c>
      <c r="AJ40" s="3">
        <v>0.04</v>
      </c>
      <c r="AK40" s="3">
        <v>0.01</v>
      </c>
      <c r="AL40" s="3">
        <v>0.01</v>
      </c>
      <c r="AM40" s="3">
        <v>3.42</v>
      </c>
      <c r="AN40" s="3">
        <v>0.11</v>
      </c>
      <c r="AO40" s="3">
        <v>0</v>
      </c>
      <c r="AP40" s="3">
        <v>3.99</v>
      </c>
      <c r="AQ40" s="3">
        <v>0.11</v>
      </c>
      <c r="AR40" s="3">
        <v>0</v>
      </c>
      <c r="AS40" s="3">
        <v>0.02</v>
      </c>
      <c r="AT40" s="3">
        <v>1.25</v>
      </c>
      <c r="AU40" s="3">
        <v>3.85</v>
      </c>
      <c r="AV40" s="3">
        <v>0.67</v>
      </c>
      <c r="AW40" s="3">
        <v>2</v>
      </c>
      <c r="AX40" s="3">
        <v>0.8</v>
      </c>
      <c r="AY40" s="3">
        <v>3.66</v>
      </c>
      <c r="AZ40" s="3">
        <v>1.77</v>
      </c>
      <c r="BA40" s="3">
        <v>84.7</v>
      </c>
      <c r="BB40" s="3">
        <v>0.43</v>
      </c>
      <c r="BC40" s="3">
        <v>0.02</v>
      </c>
    </row>
    <row r="41" spans="1:55" x14ac:dyDescent="0.3">
      <c r="A41" s="3" t="s">
        <v>170</v>
      </c>
      <c r="B41" s="3" t="s">
        <v>171</v>
      </c>
      <c r="C41" s="3" t="s">
        <v>172</v>
      </c>
      <c r="D41" s="3">
        <v>2275</v>
      </c>
      <c r="E41" s="3">
        <v>1111</v>
      </c>
      <c r="F41" s="3">
        <v>326.99</v>
      </c>
      <c r="G41" s="3">
        <v>0.13</v>
      </c>
      <c r="H41" s="3">
        <v>588.74</v>
      </c>
      <c r="I41" s="3">
        <v>0.49</v>
      </c>
      <c r="J41" s="3">
        <v>58.6</v>
      </c>
      <c r="K41" s="3">
        <v>134.61000000000001</v>
      </c>
      <c r="L41" s="3">
        <v>145.22</v>
      </c>
      <c r="M41" s="3">
        <v>37.5</v>
      </c>
      <c r="N41" s="3">
        <v>5.34</v>
      </c>
      <c r="O41" s="3">
        <v>6.61</v>
      </c>
      <c r="P41" s="3">
        <v>0.57999999999999996</v>
      </c>
      <c r="Q41" s="3">
        <v>0.56999999999999995</v>
      </c>
      <c r="R41" s="3">
        <v>28.2</v>
      </c>
      <c r="S41" s="3">
        <v>35.1</v>
      </c>
      <c r="T41" s="3">
        <v>24</v>
      </c>
      <c r="U41" s="3">
        <v>4.3</v>
      </c>
      <c r="V41" s="8">
        <f t="shared" si="0"/>
        <v>91.6</v>
      </c>
      <c r="W41" s="3">
        <v>4.2</v>
      </c>
      <c r="X41" s="3">
        <v>0.5</v>
      </c>
      <c r="Y41" s="8">
        <f t="shared" si="1"/>
        <v>4.7</v>
      </c>
      <c r="Z41" s="3">
        <v>2.2999999999999998</v>
      </c>
      <c r="AA41" s="3">
        <v>6.24</v>
      </c>
      <c r="AB41" s="3">
        <v>6.41</v>
      </c>
      <c r="AC41" s="3">
        <v>1.9</v>
      </c>
      <c r="AD41" s="3">
        <v>0</v>
      </c>
      <c r="AE41" s="3">
        <v>0</v>
      </c>
      <c r="AF41" s="3">
        <v>0.48</v>
      </c>
      <c r="AG41" s="3">
        <v>0.48</v>
      </c>
      <c r="AH41" s="3">
        <v>0.05</v>
      </c>
      <c r="AI41" s="3">
        <v>0.15</v>
      </c>
      <c r="AJ41" s="3">
        <v>0.06</v>
      </c>
      <c r="AK41" s="3">
        <v>0.02</v>
      </c>
      <c r="AL41" s="3">
        <v>0</v>
      </c>
      <c r="AM41" s="3">
        <v>4.1500000000000004</v>
      </c>
      <c r="AN41" s="3">
        <v>0.06</v>
      </c>
      <c r="AO41" s="3">
        <v>0</v>
      </c>
      <c r="AP41" s="3">
        <v>5.43</v>
      </c>
      <c r="AQ41" s="3">
        <v>0.06</v>
      </c>
      <c r="AR41" s="3">
        <v>0</v>
      </c>
      <c r="AS41" s="3">
        <v>0.01</v>
      </c>
      <c r="AT41" s="3">
        <v>1.5</v>
      </c>
      <c r="AU41" s="3">
        <v>6.08</v>
      </c>
      <c r="AV41" s="3">
        <v>0.01</v>
      </c>
      <c r="AW41" s="3">
        <v>2.4</v>
      </c>
      <c r="AX41" s="3">
        <v>0.99</v>
      </c>
      <c r="AY41" s="3">
        <v>1.62</v>
      </c>
      <c r="AZ41" s="3">
        <v>1.64</v>
      </c>
      <c r="BA41" s="3">
        <v>21.2</v>
      </c>
      <c r="BB41" s="3">
        <v>0.78</v>
      </c>
      <c r="BC41" s="3">
        <v>0.03</v>
      </c>
    </row>
    <row r="42" spans="1:55" x14ac:dyDescent="0.3">
      <c r="A42" s="3" t="s">
        <v>173</v>
      </c>
      <c r="B42" s="3" t="s">
        <v>174</v>
      </c>
      <c r="C42" s="3" t="s">
        <v>175</v>
      </c>
      <c r="D42" s="3">
        <v>2000</v>
      </c>
      <c r="E42" s="3">
        <v>863</v>
      </c>
      <c r="F42" s="3">
        <v>161.97</v>
      </c>
      <c r="G42" s="3">
        <v>7.0000000000000007E-2</v>
      </c>
      <c r="H42" s="3">
        <v>334.49</v>
      </c>
      <c r="I42" s="3">
        <v>0.19</v>
      </c>
      <c r="J42" s="3">
        <v>44.59</v>
      </c>
      <c r="K42" s="3">
        <v>88.82</v>
      </c>
      <c r="L42" s="3">
        <v>164.41</v>
      </c>
      <c r="M42" s="3">
        <v>28.69</v>
      </c>
      <c r="N42" s="3">
        <v>97.56</v>
      </c>
      <c r="O42" s="3">
        <v>0</v>
      </c>
      <c r="P42" s="3">
        <v>9.92</v>
      </c>
      <c r="Q42" s="3">
        <v>0.16</v>
      </c>
      <c r="R42" s="3">
        <v>13.8</v>
      </c>
      <c r="S42" s="3">
        <v>28.3</v>
      </c>
      <c r="T42" s="3">
        <v>36.4</v>
      </c>
      <c r="U42" s="3">
        <v>12.8</v>
      </c>
      <c r="V42" s="8">
        <f t="shared" si="0"/>
        <v>91.3</v>
      </c>
      <c r="W42" s="3">
        <v>4.5999999999999996</v>
      </c>
      <c r="X42" s="3">
        <v>0.5</v>
      </c>
      <c r="Y42" s="8">
        <f t="shared" si="1"/>
        <v>5.0999999999999996</v>
      </c>
      <c r="Z42" s="3">
        <v>2.5</v>
      </c>
      <c r="AA42" s="3">
        <v>6.66</v>
      </c>
      <c r="AB42" s="3">
        <v>6.68</v>
      </c>
      <c r="AC42" s="3">
        <v>9.1</v>
      </c>
      <c r="AD42" s="3">
        <v>0</v>
      </c>
      <c r="AE42" s="3">
        <v>0</v>
      </c>
      <c r="AF42" s="3">
        <v>0.16</v>
      </c>
      <c r="AG42" s="3">
        <v>0.16</v>
      </c>
      <c r="AH42" s="3">
        <v>0.02</v>
      </c>
      <c r="AI42" s="3">
        <v>0.11</v>
      </c>
      <c r="AJ42" s="3">
        <v>0.08</v>
      </c>
      <c r="AK42" s="3">
        <v>0.02</v>
      </c>
      <c r="AL42" s="3">
        <v>0.04</v>
      </c>
      <c r="AM42" s="3">
        <v>1.24</v>
      </c>
      <c r="AN42" s="3">
        <v>7.0000000000000007E-2</v>
      </c>
      <c r="AO42" s="3">
        <v>0</v>
      </c>
      <c r="AP42" s="3">
        <v>19.88</v>
      </c>
      <c r="AQ42" s="3">
        <v>7.0000000000000007E-2</v>
      </c>
      <c r="AR42" s="3">
        <v>0</v>
      </c>
      <c r="AS42" s="3">
        <v>0.01</v>
      </c>
      <c r="AT42" s="3">
        <v>1.26</v>
      </c>
      <c r="AU42" s="3">
        <v>5.35</v>
      </c>
      <c r="AV42" s="3">
        <v>0.06</v>
      </c>
      <c r="AW42" s="3">
        <v>2.25</v>
      </c>
      <c r="AX42" s="3">
        <v>0.87</v>
      </c>
      <c r="AY42" s="3">
        <v>6.11</v>
      </c>
      <c r="AZ42" s="3">
        <v>2.2400000000000002</v>
      </c>
      <c r="BA42" s="3">
        <v>105</v>
      </c>
      <c r="BB42" s="3">
        <v>0.66</v>
      </c>
      <c r="BC42" s="3">
        <v>0.02</v>
      </c>
    </row>
    <row r="43" spans="1:55" x14ac:dyDescent="0.3">
      <c r="A43" s="3" t="s">
        <v>176</v>
      </c>
      <c r="B43" s="3" t="s">
        <v>177</v>
      </c>
      <c r="C43" s="3" t="s">
        <v>178</v>
      </c>
      <c r="D43" s="3">
        <v>1988</v>
      </c>
      <c r="E43" s="3">
        <v>955</v>
      </c>
      <c r="F43" s="3">
        <v>234.96</v>
      </c>
      <c r="G43" s="3">
        <v>0.03</v>
      </c>
      <c r="H43" s="3">
        <v>308.25</v>
      </c>
      <c r="I43" s="3">
        <v>0.23</v>
      </c>
      <c r="J43" s="3">
        <v>30.1</v>
      </c>
      <c r="K43" s="3">
        <v>60.85</v>
      </c>
      <c r="L43" s="3">
        <v>36.07</v>
      </c>
      <c r="M43" s="3">
        <v>22.8</v>
      </c>
      <c r="N43" s="3">
        <v>5.24</v>
      </c>
      <c r="O43" s="3">
        <v>3.1</v>
      </c>
      <c r="P43" s="3">
        <v>0</v>
      </c>
      <c r="Q43" s="3">
        <v>0.24</v>
      </c>
      <c r="R43" s="3">
        <v>4.7</v>
      </c>
      <c r="S43" s="3">
        <v>22.6</v>
      </c>
      <c r="T43" s="3">
        <v>48.6</v>
      </c>
      <c r="U43" s="3">
        <v>14.1</v>
      </c>
      <c r="V43" s="8">
        <f t="shared" si="0"/>
        <v>90</v>
      </c>
      <c r="W43" s="3">
        <v>6</v>
      </c>
      <c r="X43" s="3">
        <v>0.3</v>
      </c>
      <c r="Y43" s="8">
        <f t="shared" si="1"/>
        <v>6.3</v>
      </c>
      <c r="Z43" s="3">
        <v>1.8</v>
      </c>
      <c r="AA43" s="3">
        <v>6.05</v>
      </c>
      <c r="AB43" s="3">
        <v>6.34</v>
      </c>
      <c r="AC43" s="3">
        <v>1.5</v>
      </c>
      <c r="AD43" s="3">
        <v>0</v>
      </c>
      <c r="AE43" s="3">
        <v>0</v>
      </c>
      <c r="AF43" s="3">
        <v>0.23</v>
      </c>
      <c r="AG43" s="3">
        <v>0.23</v>
      </c>
      <c r="AH43" s="3">
        <v>0.02</v>
      </c>
      <c r="AI43" s="3">
        <v>0.09</v>
      </c>
      <c r="AJ43" s="3">
        <v>0.03</v>
      </c>
      <c r="AK43" s="3">
        <v>0.01</v>
      </c>
      <c r="AL43" s="3">
        <v>0</v>
      </c>
      <c r="AM43" s="3">
        <v>3.15</v>
      </c>
      <c r="AN43" s="3">
        <v>0.05</v>
      </c>
      <c r="AO43" s="3">
        <v>0</v>
      </c>
      <c r="AP43" s="3">
        <v>4.1900000000000004</v>
      </c>
      <c r="AQ43" s="3">
        <v>0.05</v>
      </c>
      <c r="AR43" s="3">
        <v>0</v>
      </c>
      <c r="AS43" s="3">
        <v>0.01</v>
      </c>
      <c r="AT43" s="3">
        <v>1.1100000000000001</v>
      </c>
      <c r="AU43" s="3">
        <v>3.38</v>
      </c>
      <c r="AV43" s="3">
        <v>0.9</v>
      </c>
      <c r="AW43" s="3">
        <v>1.67</v>
      </c>
      <c r="AX43" s="3">
        <v>0.72</v>
      </c>
      <c r="AY43" s="3">
        <v>6.34</v>
      </c>
      <c r="AZ43" s="3">
        <v>2</v>
      </c>
      <c r="BA43" s="3">
        <v>18.600000000000001</v>
      </c>
      <c r="BB43" s="3">
        <v>0.31</v>
      </c>
      <c r="BC43" s="3">
        <v>0.01</v>
      </c>
    </row>
    <row r="44" spans="1:55" x14ac:dyDescent="0.3">
      <c r="A44" s="3" t="s">
        <v>179</v>
      </c>
      <c r="B44" s="3" t="s">
        <v>180</v>
      </c>
      <c r="C44" s="3" t="s">
        <v>181</v>
      </c>
      <c r="D44" s="3">
        <v>1992</v>
      </c>
      <c r="E44" s="3">
        <v>964</v>
      </c>
      <c r="F44" s="3">
        <v>258.89</v>
      </c>
      <c r="G44" s="3">
        <v>0.03</v>
      </c>
      <c r="H44" s="3">
        <v>493.78</v>
      </c>
      <c r="I44" s="3">
        <v>0.27</v>
      </c>
      <c r="J44" s="3">
        <v>26.09</v>
      </c>
      <c r="K44" s="3">
        <v>44.05</v>
      </c>
      <c r="L44" s="3">
        <v>71.05</v>
      </c>
      <c r="M44" s="3">
        <v>18.29</v>
      </c>
      <c r="N44" s="3">
        <v>7.33</v>
      </c>
      <c r="O44" s="3">
        <v>0</v>
      </c>
      <c r="P44" s="3">
        <v>0</v>
      </c>
      <c r="Q44" s="3">
        <v>0.27</v>
      </c>
      <c r="R44" s="3">
        <v>6</v>
      </c>
      <c r="S44" s="3">
        <v>30.6</v>
      </c>
      <c r="T44" s="3">
        <v>44.7</v>
      </c>
      <c r="U44" s="3">
        <v>9.3000000000000007</v>
      </c>
      <c r="V44" s="8">
        <f t="shared" si="0"/>
        <v>90.600000000000009</v>
      </c>
      <c r="W44" s="3">
        <v>4.3</v>
      </c>
      <c r="X44" s="3">
        <v>0.3</v>
      </c>
      <c r="Y44" s="8">
        <f t="shared" si="1"/>
        <v>4.5999999999999996</v>
      </c>
      <c r="Z44" s="3">
        <v>2.8</v>
      </c>
      <c r="AA44" s="3">
        <v>5.96</v>
      </c>
      <c r="AB44" s="3">
        <v>5.84</v>
      </c>
      <c r="AC44" s="3">
        <v>1.07</v>
      </c>
      <c r="AD44" s="3">
        <v>0</v>
      </c>
      <c r="AE44" s="3">
        <v>0</v>
      </c>
      <c r="AF44" s="3">
        <v>0.19</v>
      </c>
      <c r="AG44" s="3">
        <v>0.19</v>
      </c>
      <c r="AH44" s="3">
        <v>0.02</v>
      </c>
      <c r="AI44" s="3">
        <v>0.15</v>
      </c>
      <c r="AJ44" s="3">
        <v>0.05</v>
      </c>
      <c r="AK44" s="3">
        <v>0.01</v>
      </c>
      <c r="AL44" s="3">
        <v>0</v>
      </c>
      <c r="AM44" s="3">
        <v>2.25</v>
      </c>
      <c r="AN44" s="3">
        <v>7.0000000000000007E-2</v>
      </c>
      <c r="AO44" s="3">
        <v>0</v>
      </c>
      <c r="AP44" s="3">
        <v>9.2200000000000006</v>
      </c>
      <c r="AQ44" s="3">
        <v>7.0000000000000007E-2</v>
      </c>
      <c r="AR44" s="3">
        <v>0.01</v>
      </c>
      <c r="AS44" s="3">
        <v>0</v>
      </c>
      <c r="AT44" s="3">
        <v>1.22</v>
      </c>
      <c r="AU44" s="3">
        <v>5</v>
      </c>
      <c r="AV44" s="3">
        <v>3.14</v>
      </c>
      <c r="AW44" s="3">
        <v>3.16</v>
      </c>
      <c r="AX44" s="3">
        <v>1.1200000000000001</v>
      </c>
      <c r="AY44" s="3">
        <v>9.6999999999999993</v>
      </c>
      <c r="AZ44" s="3">
        <v>1.1399999999999999</v>
      </c>
      <c r="BA44" s="3">
        <v>1.66</v>
      </c>
      <c r="BB44" s="3">
        <v>0.25</v>
      </c>
      <c r="BC44" s="3">
        <v>0.02</v>
      </c>
    </row>
    <row r="45" spans="1:55" x14ac:dyDescent="0.3">
      <c r="A45" s="3" t="s">
        <v>182</v>
      </c>
      <c r="B45" s="3" t="s">
        <v>183</v>
      </c>
      <c r="C45" s="3" t="s">
        <v>184</v>
      </c>
      <c r="D45" s="3">
        <v>1903</v>
      </c>
      <c r="E45" s="3">
        <v>939</v>
      </c>
      <c r="F45" s="3">
        <v>165.93</v>
      </c>
      <c r="G45" s="3">
        <v>7.0000000000000007E-2</v>
      </c>
      <c r="H45" s="3">
        <v>778.01</v>
      </c>
      <c r="I45" s="3">
        <v>0.44</v>
      </c>
      <c r="J45" s="3">
        <v>26.49</v>
      </c>
      <c r="K45" s="3">
        <v>99.47</v>
      </c>
      <c r="L45" s="3">
        <v>100.84</v>
      </c>
      <c r="M45" s="3">
        <v>45.08</v>
      </c>
      <c r="N45" s="3">
        <v>5.64</v>
      </c>
      <c r="O45" s="3">
        <v>1.1399999999999999</v>
      </c>
      <c r="P45" s="3">
        <v>0</v>
      </c>
      <c r="Q45" s="3">
        <v>0.39</v>
      </c>
      <c r="R45" s="3">
        <v>1.6</v>
      </c>
      <c r="S45" s="3">
        <v>20.7</v>
      </c>
      <c r="T45" s="3">
        <v>59.5</v>
      </c>
      <c r="U45" s="3">
        <v>9.5</v>
      </c>
      <c r="V45" s="8">
        <f t="shared" si="0"/>
        <v>91.3</v>
      </c>
      <c r="W45" s="3">
        <v>3.9</v>
      </c>
      <c r="X45" s="3">
        <v>0.2</v>
      </c>
      <c r="Y45" s="8">
        <f t="shared" si="1"/>
        <v>4.0999999999999996</v>
      </c>
      <c r="Z45" s="3">
        <v>3.1</v>
      </c>
      <c r="AA45" s="3">
        <v>6.73</v>
      </c>
      <c r="AB45" s="3">
        <v>6.85</v>
      </c>
      <c r="AC45" s="3">
        <v>1.8</v>
      </c>
      <c r="AD45" s="3">
        <v>0</v>
      </c>
      <c r="AE45" s="3">
        <v>0</v>
      </c>
      <c r="AF45" s="3">
        <v>0.28999999999999998</v>
      </c>
      <c r="AG45" s="3">
        <v>0.28999999999999998</v>
      </c>
      <c r="AH45" s="3">
        <v>0.03</v>
      </c>
      <c r="AI45" s="3">
        <v>0.24</v>
      </c>
      <c r="AJ45" s="3">
        <v>0.06</v>
      </c>
      <c r="AK45" s="3">
        <v>0.02</v>
      </c>
      <c r="AL45" s="3">
        <v>0</v>
      </c>
      <c r="AM45" s="3">
        <v>2.52</v>
      </c>
      <c r="AN45" s="3">
        <v>0.06</v>
      </c>
      <c r="AO45" s="3">
        <v>0</v>
      </c>
      <c r="AP45" s="3">
        <v>12.86</v>
      </c>
      <c r="AQ45" s="3">
        <v>0.06</v>
      </c>
      <c r="AR45" s="3">
        <v>0</v>
      </c>
      <c r="AS45" s="3">
        <v>0.03</v>
      </c>
      <c r="AT45" s="3">
        <v>1</v>
      </c>
      <c r="AU45" s="3">
        <v>3.55</v>
      </c>
      <c r="AV45" s="3">
        <v>2.31</v>
      </c>
      <c r="AW45" s="3">
        <v>2.46</v>
      </c>
      <c r="AX45" s="3">
        <v>1.18</v>
      </c>
      <c r="AY45" s="3">
        <v>4.82</v>
      </c>
      <c r="AZ45" s="3">
        <v>2.13</v>
      </c>
      <c r="BA45" s="3">
        <v>55.2</v>
      </c>
      <c r="BB45" s="3">
        <v>0.35</v>
      </c>
      <c r="BC45" s="3">
        <v>0.03</v>
      </c>
    </row>
    <row r="46" spans="1:55" x14ac:dyDescent="0.3">
      <c r="A46" s="3" t="s">
        <v>185</v>
      </c>
      <c r="B46" s="3" t="s">
        <v>186</v>
      </c>
      <c r="C46" s="3" t="s">
        <v>187</v>
      </c>
      <c r="D46" s="3">
        <v>627</v>
      </c>
      <c r="E46" s="3">
        <v>508</v>
      </c>
      <c r="F46" s="3">
        <v>233.86</v>
      </c>
      <c r="G46" s="3">
        <v>0.08</v>
      </c>
      <c r="H46" s="3">
        <v>1578.25</v>
      </c>
      <c r="I46" s="3">
        <v>0.42</v>
      </c>
      <c r="J46" s="3">
        <v>27.88</v>
      </c>
      <c r="K46" s="3">
        <v>125.14</v>
      </c>
      <c r="L46" s="3">
        <v>202.19</v>
      </c>
      <c r="M46" s="3">
        <v>78.45</v>
      </c>
      <c r="N46" s="3">
        <v>6.17</v>
      </c>
      <c r="O46" s="3">
        <v>0</v>
      </c>
      <c r="P46" s="3">
        <v>0</v>
      </c>
      <c r="Q46" s="3">
        <v>0.23</v>
      </c>
      <c r="R46" s="3">
        <v>2.2999999999999998</v>
      </c>
      <c r="S46" s="3">
        <v>20.9</v>
      </c>
      <c r="T46" s="3">
        <v>55</v>
      </c>
      <c r="U46" s="3">
        <v>8.1</v>
      </c>
      <c r="V46" s="8">
        <f t="shared" si="0"/>
        <v>86.3</v>
      </c>
      <c r="W46" s="3">
        <v>4.2</v>
      </c>
      <c r="X46" s="3">
        <v>3.5</v>
      </c>
      <c r="Y46" s="8">
        <f t="shared" si="1"/>
        <v>7.7</v>
      </c>
      <c r="Z46" s="3">
        <v>4.5</v>
      </c>
      <c r="AA46" s="3">
        <v>6.83</v>
      </c>
      <c r="AB46" s="3">
        <v>6.52</v>
      </c>
      <c r="AC46" s="3">
        <v>2.8</v>
      </c>
      <c r="AD46" s="3">
        <v>0</v>
      </c>
      <c r="AE46" s="3">
        <v>0</v>
      </c>
      <c r="AF46" s="3">
        <v>0.22</v>
      </c>
      <c r="AG46" s="3">
        <v>0.22</v>
      </c>
      <c r="AH46" s="3">
        <v>0.02</v>
      </c>
      <c r="AI46" s="3">
        <v>0.53</v>
      </c>
      <c r="AJ46" s="3">
        <v>0.12</v>
      </c>
      <c r="AK46" s="3">
        <v>0.02</v>
      </c>
      <c r="AL46" s="3">
        <v>0</v>
      </c>
      <c r="AM46" s="3">
        <v>4.2</v>
      </c>
      <c r="AN46" s="3">
        <v>0.04</v>
      </c>
      <c r="AO46" s="3">
        <v>0</v>
      </c>
      <c r="AP46" s="3">
        <v>16.079999999999998</v>
      </c>
      <c r="AQ46" s="3">
        <v>0.04</v>
      </c>
      <c r="AR46" s="3">
        <v>0</v>
      </c>
      <c r="AS46" s="3">
        <v>0.01</v>
      </c>
      <c r="AT46" s="3">
        <v>1.88</v>
      </c>
      <c r="AU46" s="3">
        <v>8.9700000000000006</v>
      </c>
      <c r="AV46" s="3">
        <v>0</v>
      </c>
      <c r="AW46" s="3">
        <v>7.28</v>
      </c>
      <c r="AX46" s="3">
        <v>2.46</v>
      </c>
      <c r="AY46" s="3">
        <v>7.48</v>
      </c>
      <c r="AZ46" s="3">
        <v>2.27</v>
      </c>
      <c r="BA46" s="3">
        <v>4.67</v>
      </c>
      <c r="BB46" s="3">
        <v>0.79</v>
      </c>
      <c r="BC46" s="3">
        <v>0.03</v>
      </c>
    </row>
    <row r="47" spans="1:55" x14ac:dyDescent="0.3">
      <c r="A47" s="3" t="s">
        <v>188</v>
      </c>
      <c r="B47" s="3" t="s">
        <v>189</v>
      </c>
      <c r="C47" s="3" t="s">
        <v>190</v>
      </c>
      <c r="D47" s="3">
        <v>93</v>
      </c>
      <c r="E47" s="3">
        <v>193</v>
      </c>
      <c r="F47" s="3">
        <v>211.94</v>
      </c>
      <c r="G47" s="3">
        <v>0.14000000000000001</v>
      </c>
      <c r="H47" s="3">
        <v>239.5</v>
      </c>
      <c r="I47" s="3">
        <v>0.23</v>
      </c>
      <c r="J47" s="3">
        <v>80.680000000000007</v>
      </c>
      <c r="K47" s="3">
        <v>33.24</v>
      </c>
      <c r="L47" s="3">
        <v>4.6500000000000004</v>
      </c>
      <c r="M47" s="3">
        <v>12.3</v>
      </c>
      <c r="N47" s="3">
        <v>3.97</v>
      </c>
      <c r="O47" s="3">
        <v>5.0199999999999996</v>
      </c>
      <c r="P47" s="3">
        <v>0.37</v>
      </c>
      <c r="Q47" s="3">
        <v>0.14000000000000001</v>
      </c>
      <c r="R47" s="3">
        <v>0.2</v>
      </c>
      <c r="S47" s="3">
        <v>38.1</v>
      </c>
      <c r="T47" s="3">
        <v>47.6</v>
      </c>
      <c r="U47" s="3">
        <v>8.1999999999999993</v>
      </c>
      <c r="V47" s="8">
        <f t="shared" si="0"/>
        <v>94.100000000000009</v>
      </c>
      <c r="W47" s="3">
        <v>3.5</v>
      </c>
      <c r="X47" s="3">
        <v>0.2</v>
      </c>
      <c r="Y47" s="8">
        <f t="shared" si="1"/>
        <v>3.7</v>
      </c>
      <c r="Z47" s="3">
        <v>0.3</v>
      </c>
      <c r="AA47" s="3">
        <v>5.01</v>
      </c>
      <c r="AB47" s="3">
        <v>4.3600000000000003</v>
      </c>
      <c r="AC47" s="3">
        <v>9.1999999999999993</v>
      </c>
      <c r="AD47" s="3">
        <v>1.81</v>
      </c>
      <c r="AE47" s="3">
        <v>0.02</v>
      </c>
      <c r="AF47" s="3">
        <v>0.52</v>
      </c>
      <c r="AG47" s="3">
        <v>0.5</v>
      </c>
      <c r="AH47" s="3">
        <v>0.03</v>
      </c>
      <c r="AI47" s="3">
        <v>0.06</v>
      </c>
      <c r="AJ47" s="3">
        <v>0.02</v>
      </c>
      <c r="AK47" s="3">
        <v>0.01</v>
      </c>
      <c r="AL47" s="3">
        <v>0</v>
      </c>
      <c r="AM47" s="3">
        <v>0.52</v>
      </c>
      <c r="AN47" s="3">
        <v>0.23</v>
      </c>
      <c r="AO47" s="3">
        <v>0</v>
      </c>
      <c r="AP47" s="3">
        <v>15.87</v>
      </c>
      <c r="AQ47" s="3">
        <v>0.23</v>
      </c>
      <c r="AR47" s="3">
        <v>0</v>
      </c>
      <c r="AS47" s="3">
        <v>0.01</v>
      </c>
      <c r="AT47" s="3">
        <v>0.7</v>
      </c>
      <c r="AU47" s="3">
        <v>1.83</v>
      </c>
      <c r="AV47" s="3">
        <v>0</v>
      </c>
      <c r="AW47" s="3">
        <v>0.64</v>
      </c>
      <c r="AX47" s="3">
        <v>0.23</v>
      </c>
      <c r="AY47" s="3">
        <v>2.19</v>
      </c>
      <c r="AZ47" s="3">
        <v>2.2000000000000002</v>
      </c>
      <c r="BA47" s="3">
        <v>1340</v>
      </c>
      <c r="BB47" s="3">
        <v>0.15</v>
      </c>
      <c r="BC47" s="3">
        <v>0.02</v>
      </c>
    </row>
    <row r="48" spans="1:55" x14ac:dyDescent="0.3">
      <c r="A48" s="3" t="s">
        <v>191</v>
      </c>
      <c r="B48" s="3" t="s">
        <v>192</v>
      </c>
      <c r="C48" s="3" t="s">
        <v>193</v>
      </c>
      <c r="D48" s="3">
        <v>109</v>
      </c>
      <c r="E48" s="3">
        <v>176</v>
      </c>
      <c r="F48" s="3">
        <v>183.93</v>
      </c>
      <c r="G48" s="3">
        <v>0.12</v>
      </c>
      <c r="H48" s="3">
        <v>119.5</v>
      </c>
      <c r="I48" s="3">
        <v>0.04</v>
      </c>
      <c r="J48" s="3">
        <v>74.87</v>
      </c>
      <c r="K48" s="3">
        <v>19.489999999999998</v>
      </c>
      <c r="L48" s="3">
        <v>7.41</v>
      </c>
      <c r="M48" s="3">
        <v>0.53</v>
      </c>
      <c r="N48" s="3">
        <v>6.98</v>
      </c>
      <c r="O48" s="3">
        <v>6.47</v>
      </c>
      <c r="P48" s="3">
        <v>0</v>
      </c>
      <c r="Q48" s="3">
        <v>0.24</v>
      </c>
      <c r="R48" s="3">
        <v>0.1</v>
      </c>
      <c r="S48" s="3">
        <v>30.4</v>
      </c>
      <c r="T48" s="3">
        <v>51</v>
      </c>
      <c r="U48" s="3">
        <v>12.5</v>
      </c>
      <c r="V48" s="8">
        <f t="shared" si="0"/>
        <v>94</v>
      </c>
      <c r="W48" s="3">
        <v>4.0999999999999996</v>
      </c>
      <c r="X48" s="3">
        <v>0.1</v>
      </c>
      <c r="Y48" s="8">
        <f t="shared" si="1"/>
        <v>4.1999999999999993</v>
      </c>
      <c r="Z48" s="3">
        <v>0</v>
      </c>
      <c r="AA48" s="3">
        <v>4.87</v>
      </c>
      <c r="AB48" s="3">
        <v>4.4000000000000004</v>
      </c>
      <c r="AC48" s="3">
        <v>1.1000000000000001</v>
      </c>
      <c r="AD48" s="3">
        <v>1.81</v>
      </c>
      <c r="AE48" s="3">
        <v>0.02</v>
      </c>
      <c r="AF48" s="3">
        <v>0.23</v>
      </c>
      <c r="AG48" s="3">
        <v>0.21</v>
      </c>
      <c r="AH48" s="3">
        <v>0.02</v>
      </c>
      <c r="AI48" s="3">
        <v>0.03</v>
      </c>
      <c r="AJ48" s="3">
        <v>0.01</v>
      </c>
      <c r="AK48" s="3">
        <v>0.01</v>
      </c>
      <c r="AL48" s="3">
        <v>0</v>
      </c>
      <c r="AM48" s="3">
        <v>0.14000000000000001</v>
      </c>
      <c r="AN48" s="3">
        <v>0.34</v>
      </c>
      <c r="AO48" s="3">
        <v>0</v>
      </c>
      <c r="AP48" s="3">
        <v>32.32</v>
      </c>
      <c r="AQ48" s="3">
        <v>0.34</v>
      </c>
      <c r="AR48" s="3">
        <v>0</v>
      </c>
      <c r="AS48" s="3">
        <v>0</v>
      </c>
      <c r="AT48" s="3">
        <v>0.53</v>
      </c>
      <c r="AU48" s="3">
        <v>1.8</v>
      </c>
      <c r="AV48" s="3">
        <v>0.17</v>
      </c>
      <c r="AW48" s="3">
        <v>0.53</v>
      </c>
      <c r="AX48" s="3">
        <v>0.17</v>
      </c>
      <c r="AY48" s="3">
        <v>1.68</v>
      </c>
      <c r="AZ48" s="3">
        <v>0.15</v>
      </c>
      <c r="BA48" s="3">
        <v>0.62</v>
      </c>
      <c r="BB48" s="3">
        <v>0.1</v>
      </c>
      <c r="BC48" s="3">
        <v>0</v>
      </c>
    </row>
    <row r="49" spans="1:55" x14ac:dyDescent="0.3">
      <c r="A49" s="3" t="s">
        <v>194</v>
      </c>
      <c r="B49" s="3" t="s">
        <v>195</v>
      </c>
      <c r="C49" s="3" t="s">
        <v>196</v>
      </c>
      <c r="D49" s="3">
        <v>302</v>
      </c>
      <c r="E49" s="3">
        <v>311</v>
      </c>
      <c r="F49" s="3">
        <v>305.87</v>
      </c>
      <c r="G49" s="3">
        <v>0.13</v>
      </c>
      <c r="H49" s="3">
        <v>1032.55</v>
      </c>
      <c r="I49" s="3">
        <v>0.3</v>
      </c>
      <c r="J49" s="3">
        <v>65.97</v>
      </c>
      <c r="K49" s="3">
        <v>102.6</v>
      </c>
      <c r="L49" s="3">
        <v>289.06</v>
      </c>
      <c r="M49" s="3">
        <v>69.97</v>
      </c>
      <c r="N49" s="3">
        <v>7.23</v>
      </c>
      <c r="O49" s="3">
        <v>0.67</v>
      </c>
      <c r="P49" s="3">
        <v>0.08</v>
      </c>
      <c r="Q49" s="3">
        <v>0.4</v>
      </c>
      <c r="R49" s="3">
        <v>0</v>
      </c>
      <c r="S49" s="3">
        <v>25.9</v>
      </c>
      <c r="T49" s="3">
        <v>54.5</v>
      </c>
      <c r="U49" s="3">
        <v>9.3000000000000007</v>
      </c>
      <c r="V49" s="8">
        <f t="shared" si="0"/>
        <v>89.7</v>
      </c>
      <c r="W49" s="3">
        <v>4.2</v>
      </c>
      <c r="X49" s="3">
        <v>0.3</v>
      </c>
      <c r="Y49" s="8">
        <f t="shared" si="1"/>
        <v>4.5</v>
      </c>
      <c r="Z49" s="3">
        <v>4.2</v>
      </c>
      <c r="AA49" s="3">
        <v>6.52</v>
      </c>
      <c r="AB49" s="3">
        <v>6.52</v>
      </c>
      <c r="AC49" s="3">
        <v>2.5</v>
      </c>
      <c r="AD49" s="3">
        <v>0.8</v>
      </c>
      <c r="AE49" s="3">
        <v>0.01</v>
      </c>
      <c r="AF49" s="3">
        <v>0.54</v>
      </c>
      <c r="AG49" s="3">
        <v>0.53</v>
      </c>
      <c r="AH49" s="3">
        <v>0.05</v>
      </c>
      <c r="AI49" s="3">
        <v>0.34</v>
      </c>
      <c r="AJ49" s="3">
        <v>0.17</v>
      </c>
      <c r="AK49" s="3">
        <v>0.02</v>
      </c>
      <c r="AL49" s="3">
        <v>0</v>
      </c>
      <c r="AM49" s="3">
        <v>8.6300000000000008</v>
      </c>
      <c r="AN49" s="3">
        <v>0.04</v>
      </c>
      <c r="AO49" s="3">
        <v>0</v>
      </c>
      <c r="AP49" s="3">
        <v>6.08</v>
      </c>
      <c r="AQ49" s="3">
        <v>0.04</v>
      </c>
      <c r="AR49" s="3">
        <v>0</v>
      </c>
      <c r="AS49" s="3">
        <v>0.01</v>
      </c>
      <c r="AT49" s="3">
        <v>1.22</v>
      </c>
      <c r="AU49" s="3">
        <v>7.22</v>
      </c>
      <c r="AV49" s="3">
        <v>0.16</v>
      </c>
      <c r="AW49" s="3">
        <v>5.0599999999999996</v>
      </c>
      <c r="AX49" s="3">
        <v>2.0699999999999998</v>
      </c>
      <c r="AY49" s="3">
        <v>5.83</v>
      </c>
      <c r="AZ49" s="3">
        <v>1.96</v>
      </c>
      <c r="BA49" s="3">
        <v>31.5</v>
      </c>
      <c r="BB49" s="3">
        <v>0.49</v>
      </c>
      <c r="BC49" s="3">
        <v>0.03</v>
      </c>
    </row>
    <row r="50" spans="1:55" x14ac:dyDescent="0.3">
      <c r="A50" s="3" t="s">
        <v>197</v>
      </c>
      <c r="B50" s="3" t="s">
        <v>198</v>
      </c>
      <c r="C50" s="3" t="s">
        <v>199</v>
      </c>
      <c r="D50" s="3">
        <v>2142</v>
      </c>
      <c r="E50" s="3">
        <v>1095</v>
      </c>
      <c r="F50" s="3">
        <v>332.97</v>
      </c>
      <c r="G50" s="3">
        <v>0.14000000000000001</v>
      </c>
      <c r="H50" s="3">
        <v>955.5</v>
      </c>
      <c r="I50" s="3">
        <v>0.06</v>
      </c>
      <c r="J50" s="3">
        <v>77.489999999999995</v>
      </c>
      <c r="K50" s="3">
        <v>84.81</v>
      </c>
      <c r="L50" s="3">
        <v>373.96</v>
      </c>
      <c r="M50" s="3">
        <v>80.290000000000006</v>
      </c>
      <c r="N50" s="3">
        <v>5.53</v>
      </c>
      <c r="O50" s="3">
        <v>0</v>
      </c>
      <c r="P50" s="3">
        <v>0</v>
      </c>
      <c r="Q50" s="3">
        <v>0</v>
      </c>
      <c r="R50" s="3">
        <v>0.3</v>
      </c>
      <c r="S50" s="3">
        <v>29.9</v>
      </c>
      <c r="T50" s="3">
        <v>52.2</v>
      </c>
      <c r="U50" s="3">
        <v>7.5</v>
      </c>
      <c r="V50" s="8">
        <f t="shared" si="0"/>
        <v>89.9</v>
      </c>
      <c r="W50" s="3">
        <v>3.1</v>
      </c>
      <c r="X50" s="3">
        <v>0.6</v>
      </c>
      <c r="Y50" s="8">
        <f t="shared" si="1"/>
        <v>3.7</v>
      </c>
      <c r="Z50" s="3">
        <v>4.5999999999999996</v>
      </c>
      <c r="AA50" s="3">
        <v>6.27</v>
      </c>
      <c r="AB50" s="3">
        <v>6.1</v>
      </c>
      <c r="AC50" s="3">
        <v>1.6</v>
      </c>
      <c r="AD50" s="3">
        <v>0</v>
      </c>
      <c r="AE50" s="3">
        <v>0</v>
      </c>
      <c r="AF50" s="3">
        <v>0.36</v>
      </c>
      <c r="AG50" s="3">
        <v>0.36</v>
      </c>
      <c r="AH50" s="3">
        <v>0.03</v>
      </c>
      <c r="AI50" s="3">
        <v>0.28000000000000003</v>
      </c>
      <c r="AJ50" s="3">
        <v>0.2</v>
      </c>
      <c r="AK50" s="3">
        <v>0.01</v>
      </c>
      <c r="AL50" s="3">
        <v>0</v>
      </c>
      <c r="AM50" s="3">
        <v>7.13</v>
      </c>
      <c r="AN50" s="3">
        <v>0.06</v>
      </c>
      <c r="AO50" s="3">
        <v>0</v>
      </c>
      <c r="AP50" s="3">
        <v>7.02</v>
      </c>
      <c r="AQ50" s="3">
        <v>0.06</v>
      </c>
      <c r="AR50" s="3">
        <v>0</v>
      </c>
      <c r="AS50" s="3">
        <v>0</v>
      </c>
      <c r="AT50" s="3">
        <v>1.29</v>
      </c>
      <c r="AU50" s="3">
        <v>8.9499999999999993</v>
      </c>
      <c r="AV50" s="3">
        <v>0</v>
      </c>
      <c r="AW50" s="3">
        <v>6.14</v>
      </c>
      <c r="AX50" s="3">
        <v>2.27</v>
      </c>
      <c r="AY50" s="3">
        <v>4.59</v>
      </c>
      <c r="AZ50" s="3">
        <v>1.04</v>
      </c>
      <c r="BA50" s="3">
        <v>6.65</v>
      </c>
      <c r="BB50" s="3">
        <v>0.5</v>
      </c>
      <c r="BC50" s="3">
        <v>0.01</v>
      </c>
    </row>
    <row r="51" spans="1:55" x14ac:dyDescent="0.3">
      <c r="A51" s="3" t="s">
        <v>200</v>
      </c>
      <c r="B51" s="3" t="s">
        <v>201</v>
      </c>
      <c r="C51" s="3" t="s">
        <v>202</v>
      </c>
      <c r="D51" s="3">
        <v>2095</v>
      </c>
      <c r="E51" s="3">
        <v>971</v>
      </c>
      <c r="F51" s="3">
        <v>285</v>
      </c>
      <c r="G51" s="3">
        <v>0.05</v>
      </c>
      <c r="H51" s="3">
        <v>383.45</v>
      </c>
      <c r="I51" s="3">
        <v>0.16</v>
      </c>
      <c r="J51" s="3">
        <v>38.700000000000003</v>
      </c>
      <c r="K51" s="3">
        <v>59.73</v>
      </c>
      <c r="L51" s="3">
        <v>58.87</v>
      </c>
      <c r="M51" s="3">
        <v>20.6</v>
      </c>
      <c r="N51" s="3">
        <v>5.9</v>
      </c>
      <c r="O51" s="3">
        <v>5.9</v>
      </c>
      <c r="P51" s="3">
        <v>1.05</v>
      </c>
      <c r="Q51" s="3">
        <v>0.17</v>
      </c>
      <c r="R51" s="3">
        <v>4.5999999999999996</v>
      </c>
      <c r="S51" s="3">
        <v>44.8</v>
      </c>
      <c r="T51" s="3">
        <v>41.5</v>
      </c>
      <c r="U51" s="3">
        <v>2.6</v>
      </c>
      <c r="V51" s="8">
        <f t="shared" si="0"/>
        <v>93.5</v>
      </c>
      <c r="W51" s="3">
        <v>3.2</v>
      </c>
      <c r="X51" s="3">
        <v>0.4</v>
      </c>
      <c r="Y51" s="8">
        <f t="shared" si="1"/>
        <v>3.6</v>
      </c>
      <c r="Z51" s="3">
        <v>1</v>
      </c>
      <c r="AA51" s="3">
        <v>6.11</v>
      </c>
      <c r="AB51" s="3">
        <v>6.33</v>
      </c>
      <c r="AC51" s="3">
        <v>2.2999999999999998</v>
      </c>
      <c r="AD51" s="3">
        <v>0.41</v>
      </c>
      <c r="AE51" s="3">
        <v>0</v>
      </c>
      <c r="AF51" s="3">
        <v>0.48</v>
      </c>
      <c r="AG51" s="3">
        <v>0.47</v>
      </c>
      <c r="AH51" s="3">
        <v>0.05</v>
      </c>
      <c r="AI51" s="3">
        <v>0.11</v>
      </c>
      <c r="AJ51" s="3">
        <v>0.04</v>
      </c>
      <c r="AK51" s="3">
        <v>0.01</v>
      </c>
      <c r="AL51" s="3">
        <v>0</v>
      </c>
      <c r="AM51" s="3">
        <v>4.97</v>
      </c>
      <c r="AN51" s="3">
        <v>7.0000000000000007E-2</v>
      </c>
      <c r="AO51" s="3">
        <v>0</v>
      </c>
      <c r="AP51" s="3">
        <v>3.18</v>
      </c>
      <c r="AQ51" s="3">
        <v>7.0000000000000007E-2</v>
      </c>
      <c r="AR51" s="3">
        <v>0</v>
      </c>
      <c r="AS51" s="3">
        <v>0</v>
      </c>
      <c r="AT51" s="3">
        <v>0.73</v>
      </c>
      <c r="AU51" s="3">
        <v>7.06</v>
      </c>
      <c r="AV51" s="3">
        <v>0</v>
      </c>
      <c r="AW51" s="3">
        <v>1.94</v>
      </c>
      <c r="AX51" s="3">
        <v>0.86</v>
      </c>
      <c r="AY51" s="3">
        <v>7.13</v>
      </c>
      <c r="AZ51" s="3">
        <v>0.91</v>
      </c>
      <c r="BA51" s="3">
        <v>0.37</v>
      </c>
      <c r="BB51" s="3">
        <v>0.32</v>
      </c>
      <c r="BC51" s="3">
        <v>0.02</v>
      </c>
    </row>
    <row r="52" spans="1:55" x14ac:dyDescent="0.3">
      <c r="A52" s="3" t="s">
        <v>203</v>
      </c>
      <c r="B52" s="3" t="s">
        <v>204</v>
      </c>
      <c r="C52" s="3" t="s">
        <v>205</v>
      </c>
      <c r="D52" s="3">
        <v>2157</v>
      </c>
      <c r="E52" s="3">
        <v>1043</v>
      </c>
      <c r="F52" s="3">
        <v>390.86</v>
      </c>
      <c r="G52" s="3">
        <v>0.28999999999999998</v>
      </c>
      <c r="H52" s="3">
        <v>95.72</v>
      </c>
      <c r="I52" s="3">
        <v>0.05</v>
      </c>
      <c r="J52" s="3">
        <v>37.69</v>
      </c>
      <c r="K52" s="3">
        <v>56.35</v>
      </c>
      <c r="L52" s="3">
        <v>8.98</v>
      </c>
      <c r="M52" s="3">
        <v>5.05</v>
      </c>
      <c r="N52" s="3">
        <v>5.96</v>
      </c>
      <c r="O52" s="3">
        <v>1.1399999999999999</v>
      </c>
      <c r="P52" s="3">
        <v>2.88</v>
      </c>
      <c r="Q52" s="3">
        <v>0.3</v>
      </c>
      <c r="R52" s="3">
        <v>1.5</v>
      </c>
      <c r="S52" s="3">
        <v>29</v>
      </c>
      <c r="T52" s="3">
        <v>53.2</v>
      </c>
      <c r="U52" s="3">
        <v>7.9</v>
      </c>
      <c r="V52" s="8">
        <f t="shared" si="0"/>
        <v>91.600000000000009</v>
      </c>
      <c r="W52" s="3">
        <v>3.8</v>
      </c>
      <c r="X52" s="3">
        <v>0.1</v>
      </c>
      <c r="Y52" s="8">
        <f t="shared" si="1"/>
        <v>3.9</v>
      </c>
      <c r="Z52" s="3">
        <v>2.6</v>
      </c>
      <c r="AA52" s="3">
        <v>4.93</v>
      </c>
      <c r="AB52" s="3">
        <v>4.6100000000000003</v>
      </c>
      <c r="AC52" s="3">
        <v>1.4</v>
      </c>
      <c r="AD52" s="3">
        <v>0.2</v>
      </c>
      <c r="AE52" s="3">
        <v>0</v>
      </c>
      <c r="AF52" s="3">
        <v>0.17</v>
      </c>
      <c r="AG52" s="3">
        <v>0.17</v>
      </c>
      <c r="AH52" s="3">
        <v>0.02</v>
      </c>
      <c r="AI52" s="3">
        <v>0.03</v>
      </c>
      <c r="AJ52" s="3">
        <v>0.02</v>
      </c>
      <c r="AK52" s="3">
        <v>0.01</v>
      </c>
      <c r="AL52" s="3">
        <v>0</v>
      </c>
      <c r="AM52" s="3">
        <v>3.54</v>
      </c>
      <c r="AN52" s="3">
        <v>0.37</v>
      </c>
      <c r="AO52" s="3">
        <v>0</v>
      </c>
      <c r="AP52" s="3">
        <v>1.56</v>
      </c>
      <c r="AQ52" s="3">
        <v>0.37</v>
      </c>
      <c r="AR52" s="3">
        <v>0.05</v>
      </c>
      <c r="AS52" s="3">
        <v>0</v>
      </c>
      <c r="AT52" s="3">
        <v>1.19</v>
      </c>
      <c r="AU52" s="3">
        <v>10.73</v>
      </c>
      <c r="AV52" s="3">
        <v>0.35</v>
      </c>
      <c r="AW52" s="3">
        <v>4.1500000000000004</v>
      </c>
      <c r="AX52" s="3">
        <v>1.44</v>
      </c>
      <c r="AY52" s="3">
        <v>13.1</v>
      </c>
      <c r="AZ52" s="3">
        <v>1.04</v>
      </c>
      <c r="BA52" s="3">
        <v>0.26</v>
      </c>
      <c r="BB52" s="3">
        <v>0.54</v>
      </c>
      <c r="BC52" s="3">
        <v>0.02</v>
      </c>
    </row>
    <row r="53" spans="1:55" x14ac:dyDescent="0.3">
      <c r="A53" s="3" t="s">
        <v>206</v>
      </c>
      <c r="B53" s="3" t="s">
        <v>207</v>
      </c>
      <c r="C53" s="3" t="s">
        <v>208</v>
      </c>
      <c r="D53" s="3">
        <v>2118</v>
      </c>
      <c r="E53" s="3">
        <v>1135</v>
      </c>
      <c r="F53" s="3">
        <v>539.87</v>
      </c>
      <c r="G53" s="3">
        <v>0.06</v>
      </c>
      <c r="H53" s="3">
        <v>329.05</v>
      </c>
      <c r="I53" s="3">
        <v>0.11</v>
      </c>
      <c r="J53" s="3">
        <v>45.19</v>
      </c>
      <c r="K53" s="3">
        <v>91.2</v>
      </c>
      <c r="L53" s="3">
        <v>119.02</v>
      </c>
      <c r="M53" s="3">
        <v>20.8</v>
      </c>
      <c r="N53" s="3">
        <v>7.76</v>
      </c>
      <c r="O53" s="3">
        <v>1.44</v>
      </c>
      <c r="P53" s="3">
        <v>2.91</v>
      </c>
      <c r="Q53" s="3">
        <v>0.14000000000000001</v>
      </c>
      <c r="R53" s="3">
        <v>5.7</v>
      </c>
      <c r="S53" s="3">
        <v>22.8</v>
      </c>
      <c r="T53" s="3">
        <v>50.4</v>
      </c>
      <c r="U53" s="3">
        <v>9.3000000000000007</v>
      </c>
      <c r="V53" s="8">
        <f t="shared" si="0"/>
        <v>88.2</v>
      </c>
      <c r="W53" s="3">
        <v>4.5</v>
      </c>
      <c r="X53" s="3">
        <v>0.3</v>
      </c>
      <c r="Y53" s="8">
        <f t="shared" si="1"/>
        <v>4.8</v>
      </c>
      <c r="Z53" s="3">
        <v>5</v>
      </c>
      <c r="AA53" s="3">
        <v>5.03</v>
      </c>
      <c r="AB53" s="3">
        <v>6.54</v>
      </c>
      <c r="AC53" s="3">
        <v>1.4</v>
      </c>
      <c r="AD53" s="3">
        <v>0.2</v>
      </c>
      <c r="AE53" s="3">
        <v>0</v>
      </c>
      <c r="AF53" s="3">
        <v>0.34</v>
      </c>
      <c r="AG53" s="3">
        <v>0.34</v>
      </c>
      <c r="AH53" s="3">
        <v>0.04</v>
      </c>
      <c r="AI53" s="3">
        <v>0.09</v>
      </c>
      <c r="AJ53" s="3">
        <v>7.0000000000000007E-2</v>
      </c>
      <c r="AK53" s="3">
        <v>0.01</v>
      </c>
      <c r="AL53" s="3">
        <v>0</v>
      </c>
      <c r="AM53" s="3">
        <v>3.59</v>
      </c>
      <c r="AN53" s="3">
        <v>0.27</v>
      </c>
      <c r="AO53" s="3">
        <v>0</v>
      </c>
      <c r="AP53" s="3">
        <v>4.75</v>
      </c>
      <c r="AQ53" s="3">
        <v>0.27</v>
      </c>
      <c r="AR53" s="3">
        <v>0</v>
      </c>
      <c r="AS53" s="3">
        <v>0.09</v>
      </c>
      <c r="AT53" s="3">
        <v>2.66</v>
      </c>
      <c r="AU53" s="3">
        <v>17.54</v>
      </c>
      <c r="AV53" s="3">
        <v>0.04</v>
      </c>
      <c r="AW53" s="3">
        <v>11.33</v>
      </c>
      <c r="AX53" s="3">
        <v>2.0699999999999998</v>
      </c>
      <c r="AY53" s="3">
        <v>13.4</v>
      </c>
      <c r="AZ53" s="3">
        <v>2.13</v>
      </c>
      <c r="BA53" s="3">
        <v>23.98</v>
      </c>
      <c r="BB53" s="3">
        <v>0.57999999999999996</v>
      </c>
      <c r="BC53" s="3">
        <v>0.01</v>
      </c>
    </row>
    <row r="54" spans="1:55" x14ac:dyDescent="0.3">
      <c r="A54" s="3" t="s">
        <v>209</v>
      </c>
      <c r="B54" s="3" t="s">
        <v>210</v>
      </c>
      <c r="C54" s="3" t="s">
        <v>211</v>
      </c>
      <c r="D54" s="3">
        <v>2227</v>
      </c>
      <c r="E54" s="3">
        <v>1134</v>
      </c>
      <c r="F54" s="3">
        <v>522.83000000000004</v>
      </c>
      <c r="G54" s="3">
        <v>0.02</v>
      </c>
      <c r="H54" s="3">
        <v>397.97</v>
      </c>
      <c r="I54" s="3">
        <v>0.17</v>
      </c>
      <c r="J54" s="3">
        <v>48.38</v>
      </c>
      <c r="K54" s="3">
        <v>62.66</v>
      </c>
      <c r="L54" s="3">
        <v>129.03</v>
      </c>
      <c r="M54" s="3">
        <v>21.49</v>
      </c>
      <c r="N54" s="3">
        <v>6.32</v>
      </c>
      <c r="O54" s="3">
        <v>3.14</v>
      </c>
      <c r="P54" s="3">
        <v>4.8499999999999996</v>
      </c>
      <c r="Q54" s="3">
        <v>0.1</v>
      </c>
      <c r="R54" s="3">
        <v>5.8</v>
      </c>
      <c r="S54" s="3">
        <v>22.4</v>
      </c>
      <c r="T54" s="3">
        <v>49.3</v>
      </c>
      <c r="U54" s="3">
        <v>10.7</v>
      </c>
      <c r="V54" s="8">
        <f t="shared" si="0"/>
        <v>88.2</v>
      </c>
      <c r="W54" s="3">
        <v>4.5</v>
      </c>
      <c r="X54" s="3">
        <v>0.4</v>
      </c>
      <c r="Y54" s="8">
        <f t="shared" si="1"/>
        <v>4.9000000000000004</v>
      </c>
      <c r="Z54" s="3">
        <v>5.0999999999999996</v>
      </c>
      <c r="AA54" s="3">
        <v>4.9400000000000004</v>
      </c>
      <c r="AB54" s="3">
        <v>4.4800000000000004</v>
      </c>
      <c r="AC54" s="3">
        <v>1.3</v>
      </c>
      <c r="AD54" s="3">
        <v>1.42</v>
      </c>
      <c r="AE54" s="3">
        <v>0.02</v>
      </c>
      <c r="AF54" s="3">
        <v>0.25</v>
      </c>
      <c r="AG54" s="3">
        <v>0.23</v>
      </c>
      <c r="AH54" s="3">
        <v>0.03</v>
      </c>
      <c r="AI54" s="3">
        <v>0.11</v>
      </c>
      <c r="AJ54" s="3">
        <v>0.08</v>
      </c>
      <c r="AK54" s="3">
        <v>0.01</v>
      </c>
      <c r="AL54" s="3">
        <v>0</v>
      </c>
      <c r="AM54" s="3">
        <v>3.01</v>
      </c>
      <c r="AN54" s="3">
        <v>0.25</v>
      </c>
      <c r="AO54" s="3">
        <v>0</v>
      </c>
      <c r="AP54" s="3">
        <v>6.65</v>
      </c>
      <c r="AQ54" s="3">
        <v>0.25</v>
      </c>
      <c r="AR54" s="3">
        <v>0</v>
      </c>
      <c r="AS54" s="3">
        <v>0.01</v>
      </c>
      <c r="AT54" s="3">
        <v>2.72</v>
      </c>
      <c r="AU54" s="3">
        <v>20.440000000000001</v>
      </c>
      <c r="AV54" s="3">
        <v>0.23</v>
      </c>
      <c r="AW54" s="3">
        <v>12.65</v>
      </c>
      <c r="AX54" s="3">
        <v>2.2799999999999998</v>
      </c>
      <c r="AY54" s="3">
        <v>10.9</v>
      </c>
      <c r="AZ54" s="3">
        <v>1.94</v>
      </c>
      <c r="BA54" s="3">
        <v>7.46</v>
      </c>
      <c r="BB54" s="3">
        <v>0.63</v>
      </c>
      <c r="BC54" s="3">
        <v>0</v>
      </c>
    </row>
    <row r="55" spans="1:55" x14ac:dyDescent="0.3">
      <c r="A55" s="3" t="s">
        <v>212</v>
      </c>
      <c r="B55" s="3" t="s">
        <v>213</v>
      </c>
      <c r="C55" s="3" t="s">
        <v>214</v>
      </c>
      <c r="D55" s="3">
        <v>2051</v>
      </c>
      <c r="E55" s="3">
        <v>1000</v>
      </c>
      <c r="F55" s="3">
        <v>300</v>
      </c>
      <c r="G55" s="3">
        <v>0.06</v>
      </c>
      <c r="H55" s="3">
        <v>376.87</v>
      </c>
      <c r="I55" s="3">
        <v>0.21</v>
      </c>
      <c r="J55" s="3">
        <v>85.6</v>
      </c>
      <c r="K55" s="3">
        <v>29.86</v>
      </c>
      <c r="L55" s="3">
        <v>29.11</v>
      </c>
      <c r="M55" s="3">
        <v>77</v>
      </c>
      <c r="N55" s="3">
        <v>5.72</v>
      </c>
      <c r="O55" s="3">
        <v>5.84</v>
      </c>
      <c r="P55" s="3">
        <v>1.3</v>
      </c>
      <c r="Q55" s="3">
        <v>0.4</v>
      </c>
      <c r="R55" s="3">
        <v>0.6</v>
      </c>
      <c r="S55" s="3">
        <v>44.5</v>
      </c>
      <c r="T55" s="3">
        <v>43.5</v>
      </c>
      <c r="U55" s="3">
        <v>5.2</v>
      </c>
      <c r="V55" s="8">
        <f t="shared" si="0"/>
        <v>93.8</v>
      </c>
      <c r="W55" s="3">
        <v>3.7</v>
      </c>
      <c r="X55" s="3">
        <v>0</v>
      </c>
      <c r="Y55" s="8">
        <f t="shared" si="1"/>
        <v>3.7</v>
      </c>
      <c r="Z55" s="3">
        <v>0.6</v>
      </c>
      <c r="AA55" s="3">
        <v>5.25</v>
      </c>
      <c r="AB55" s="3">
        <v>5.05</v>
      </c>
      <c r="AC55" s="3">
        <v>1.5</v>
      </c>
      <c r="AD55" s="3">
        <v>1.63</v>
      </c>
      <c r="AE55" s="3">
        <v>0.02</v>
      </c>
      <c r="AF55" s="3">
        <v>0.82</v>
      </c>
      <c r="AG55" s="3">
        <v>0.8</v>
      </c>
      <c r="AH55" s="3">
        <v>0.05</v>
      </c>
      <c r="AI55" s="3">
        <v>0.08</v>
      </c>
      <c r="AJ55" s="3">
        <v>0.02</v>
      </c>
      <c r="AK55" s="3">
        <v>0.01</v>
      </c>
      <c r="AL55" s="3">
        <v>0</v>
      </c>
      <c r="AM55" s="3">
        <v>4</v>
      </c>
      <c r="AN55" s="3">
        <v>0.1</v>
      </c>
      <c r="AO55" s="3">
        <v>0</v>
      </c>
      <c r="AP55" s="3">
        <v>2.73</v>
      </c>
      <c r="AQ55" s="3">
        <v>0.1</v>
      </c>
      <c r="AR55" s="3">
        <v>0</v>
      </c>
      <c r="AS55" s="3">
        <v>0.01</v>
      </c>
      <c r="AT55" s="3">
        <v>1.29</v>
      </c>
      <c r="AU55" s="3">
        <v>5.28</v>
      </c>
      <c r="AV55" s="3">
        <v>0.39</v>
      </c>
      <c r="AW55" s="3">
        <v>3.8</v>
      </c>
      <c r="AX55" s="3">
        <v>0.46</v>
      </c>
      <c r="AY55" s="3">
        <v>8.9700000000000006</v>
      </c>
      <c r="AZ55" s="3">
        <v>0.9</v>
      </c>
      <c r="BA55" s="3">
        <v>5.21</v>
      </c>
      <c r="BB55" s="3">
        <v>0.3</v>
      </c>
      <c r="BC55" s="3">
        <v>0</v>
      </c>
    </row>
    <row r="56" spans="1:55" x14ac:dyDescent="0.3">
      <c r="A56" s="3" t="s">
        <v>215</v>
      </c>
      <c r="B56" s="3" t="s">
        <v>216</v>
      </c>
      <c r="C56" s="3" t="s">
        <v>217</v>
      </c>
      <c r="D56" s="3">
        <v>2101</v>
      </c>
      <c r="E56" s="3">
        <v>935</v>
      </c>
      <c r="F56" s="3">
        <v>210.95</v>
      </c>
      <c r="G56" s="3">
        <v>0.02</v>
      </c>
      <c r="H56" s="3">
        <v>72.38</v>
      </c>
      <c r="I56" s="3">
        <v>0.1</v>
      </c>
      <c r="J56" s="3">
        <v>63.38</v>
      </c>
      <c r="K56" s="3">
        <v>16.149999999999999</v>
      </c>
      <c r="L56" s="3">
        <v>8.15</v>
      </c>
      <c r="M56" s="3">
        <v>10</v>
      </c>
      <c r="N56" s="3">
        <v>4.43</v>
      </c>
      <c r="O56" s="3">
        <v>2.59</v>
      </c>
      <c r="P56" s="3">
        <v>2.11</v>
      </c>
      <c r="Q56" s="3">
        <v>0.12</v>
      </c>
      <c r="R56" s="3">
        <v>0.5</v>
      </c>
      <c r="S56" s="3">
        <v>41.3</v>
      </c>
      <c r="T56" s="3">
        <v>46.6</v>
      </c>
      <c r="U56" s="3">
        <v>6.3</v>
      </c>
      <c r="V56" s="8">
        <f t="shared" si="0"/>
        <v>94.7</v>
      </c>
      <c r="W56" s="3">
        <v>3</v>
      </c>
      <c r="X56" s="3">
        <v>0.1</v>
      </c>
      <c r="Y56" s="8">
        <f t="shared" si="1"/>
        <v>3.1</v>
      </c>
      <c r="Z56" s="3">
        <v>0.8</v>
      </c>
      <c r="AA56" s="3">
        <v>5.33</v>
      </c>
      <c r="AB56" s="3">
        <v>6.2</v>
      </c>
      <c r="AC56" s="3">
        <v>1.1000000000000001</v>
      </c>
      <c r="AD56" s="3">
        <v>1.02</v>
      </c>
      <c r="AE56" s="3">
        <v>0.01</v>
      </c>
      <c r="AF56" s="3">
        <v>0.16</v>
      </c>
      <c r="AG56" s="3">
        <v>0.15</v>
      </c>
      <c r="AH56" s="3">
        <v>0.01</v>
      </c>
      <c r="AI56" s="3">
        <v>0.02</v>
      </c>
      <c r="AJ56" s="3">
        <v>0.01</v>
      </c>
      <c r="AK56" s="3">
        <v>0.01</v>
      </c>
      <c r="AL56" s="3">
        <v>0</v>
      </c>
      <c r="AM56" s="3">
        <v>6.49</v>
      </c>
      <c r="AN56" s="3">
        <v>0.24</v>
      </c>
      <c r="AO56" s="3">
        <v>0</v>
      </c>
      <c r="AP56" s="3">
        <v>0.6</v>
      </c>
      <c r="AQ56" s="3">
        <v>0.24</v>
      </c>
      <c r="AR56" s="3">
        <v>0</v>
      </c>
      <c r="AS56" s="3">
        <v>0.01</v>
      </c>
      <c r="AT56" s="3">
        <v>0.88</v>
      </c>
      <c r="AU56" s="3">
        <v>4.3099999999999996</v>
      </c>
      <c r="AV56" s="3">
        <v>0.14000000000000001</v>
      </c>
      <c r="AW56" s="3">
        <v>2.12</v>
      </c>
      <c r="AX56" s="3">
        <v>0.25</v>
      </c>
      <c r="AY56" s="3">
        <v>5.04</v>
      </c>
      <c r="AZ56" s="3">
        <v>0.33</v>
      </c>
      <c r="BA56" s="3">
        <v>7.22</v>
      </c>
      <c r="BB56" s="3">
        <v>0.2</v>
      </c>
      <c r="BC56" s="3">
        <v>0</v>
      </c>
    </row>
    <row r="57" spans="1:55" x14ac:dyDescent="0.3">
      <c r="A57" s="3" t="s">
        <v>218</v>
      </c>
      <c r="B57" s="3" t="s">
        <v>219</v>
      </c>
      <c r="C57" s="3" t="s">
        <v>220</v>
      </c>
      <c r="D57" s="3">
        <v>102</v>
      </c>
      <c r="E57" s="3">
        <v>248</v>
      </c>
      <c r="F57" s="3">
        <v>293.91000000000003</v>
      </c>
      <c r="G57" s="3">
        <v>0.05</v>
      </c>
      <c r="H57" s="3">
        <v>713.13</v>
      </c>
      <c r="I57" s="3">
        <v>0.34</v>
      </c>
      <c r="J57" s="3">
        <v>46.19</v>
      </c>
      <c r="K57" s="3">
        <v>168.26</v>
      </c>
      <c r="L57" s="3">
        <v>235.04</v>
      </c>
      <c r="M57" s="3">
        <v>13.3</v>
      </c>
      <c r="N57" s="3">
        <v>11.83</v>
      </c>
      <c r="O57" s="3">
        <v>5.55</v>
      </c>
      <c r="P57" s="3">
        <v>2.38</v>
      </c>
      <c r="Q57" s="3">
        <v>0.82</v>
      </c>
      <c r="R57" s="3">
        <v>0.5</v>
      </c>
      <c r="S57" s="3">
        <v>17.5</v>
      </c>
      <c r="T57" s="3">
        <v>61</v>
      </c>
      <c r="U57" s="3">
        <v>10</v>
      </c>
      <c r="V57" s="8">
        <f t="shared" si="0"/>
        <v>89</v>
      </c>
      <c r="W57" s="3">
        <v>4.0999999999999996</v>
      </c>
      <c r="X57" s="3">
        <v>0</v>
      </c>
      <c r="Y57" s="8">
        <f t="shared" si="1"/>
        <v>4.0999999999999996</v>
      </c>
      <c r="Z57" s="3">
        <v>5.4</v>
      </c>
      <c r="AA57" s="3">
        <v>5.91</v>
      </c>
      <c r="AB57" s="3">
        <v>5.89</v>
      </c>
      <c r="AC57" s="3">
        <v>2.5</v>
      </c>
      <c r="AD57" s="3">
        <v>1.83</v>
      </c>
      <c r="AE57" s="3">
        <v>0.02</v>
      </c>
      <c r="AF57" s="3">
        <v>0.35</v>
      </c>
      <c r="AG57" s="3">
        <v>0.32</v>
      </c>
      <c r="AH57" s="3">
        <v>0.04</v>
      </c>
      <c r="AI57" s="3">
        <v>0.24</v>
      </c>
      <c r="AJ57" s="3">
        <v>0.14000000000000001</v>
      </c>
      <c r="AK57" s="3">
        <v>0.03</v>
      </c>
      <c r="AL57" s="3">
        <v>0</v>
      </c>
      <c r="AM57" s="3">
        <v>4.21</v>
      </c>
      <c r="AN57" s="3">
        <v>0.06</v>
      </c>
      <c r="AO57" s="3">
        <v>0</v>
      </c>
      <c r="AP57" s="3">
        <v>9.7200000000000006</v>
      </c>
      <c r="AQ57" s="3">
        <v>0.06</v>
      </c>
      <c r="AR57" s="3">
        <v>0</v>
      </c>
      <c r="AS57" s="3">
        <v>0.02</v>
      </c>
      <c r="AT57" s="3">
        <v>1.49</v>
      </c>
      <c r="AU57" s="3">
        <v>7.31</v>
      </c>
      <c r="AV57" s="3">
        <v>0</v>
      </c>
      <c r="AW57" s="3">
        <v>5.28</v>
      </c>
      <c r="AX57" s="3">
        <v>1.43</v>
      </c>
      <c r="AY57" s="3">
        <v>13.9</v>
      </c>
      <c r="AZ57" s="3">
        <v>2.4500000000000002</v>
      </c>
      <c r="BA57" s="3">
        <v>8.1300000000000008</v>
      </c>
      <c r="BB57" s="3">
        <v>0.37</v>
      </c>
      <c r="BC57" s="3">
        <v>0</v>
      </c>
    </row>
    <row r="58" spans="1:55" x14ac:dyDescent="0.3">
      <c r="A58" s="3" t="s">
        <v>221</v>
      </c>
      <c r="B58" s="3" t="s">
        <v>222</v>
      </c>
      <c r="C58" s="3" t="s">
        <v>223</v>
      </c>
      <c r="D58" s="3">
        <v>135</v>
      </c>
      <c r="E58" s="3">
        <v>312</v>
      </c>
      <c r="F58" s="3">
        <v>301.93</v>
      </c>
      <c r="G58" s="3">
        <v>0.06</v>
      </c>
      <c r="H58" s="3">
        <v>1071.8399999999999</v>
      </c>
      <c r="I58" s="3">
        <v>0.37</v>
      </c>
      <c r="J58" s="3">
        <v>38.99</v>
      </c>
      <c r="K58" s="3">
        <v>130.29</v>
      </c>
      <c r="L58" s="3">
        <v>426.46</v>
      </c>
      <c r="M58" s="3">
        <v>12.2</v>
      </c>
      <c r="N58" s="3">
        <v>37.64</v>
      </c>
      <c r="O58" s="3">
        <v>2.71</v>
      </c>
      <c r="P58" s="3">
        <v>2.35</v>
      </c>
      <c r="Q58" s="3">
        <v>0.35</v>
      </c>
      <c r="R58" s="3">
        <v>0.1</v>
      </c>
      <c r="S58" s="3">
        <v>19.7</v>
      </c>
      <c r="T58" s="3">
        <v>57</v>
      </c>
      <c r="U58" s="3">
        <v>8.8000000000000007</v>
      </c>
      <c r="V58" s="8">
        <f t="shared" si="0"/>
        <v>85.6</v>
      </c>
      <c r="W58" s="3">
        <v>4.7</v>
      </c>
      <c r="X58" s="3">
        <v>0.3</v>
      </c>
      <c r="Y58" s="8">
        <f t="shared" si="1"/>
        <v>5</v>
      </c>
      <c r="Z58" s="3">
        <v>8.1</v>
      </c>
      <c r="AA58" s="3">
        <v>6.03</v>
      </c>
      <c r="AB58" s="3">
        <v>5.7</v>
      </c>
      <c r="AC58" s="3">
        <v>2.4</v>
      </c>
      <c r="AD58" s="3">
        <v>0</v>
      </c>
      <c r="AE58" s="3">
        <v>0</v>
      </c>
      <c r="AF58" s="3">
        <v>0.27</v>
      </c>
      <c r="AG58" s="3">
        <v>0.27</v>
      </c>
      <c r="AH58" s="3">
        <v>0.04</v>
      </c>
      <c r="AI58" s="3">
        <v>0.34</v>
      </c>
      <c r="AJ58" s="3">
        <v>0.24</v>
      </c>
      <c r="AK58" s="3">
        <v>0.02</v>
      </c>
      <c r="AL58" s="3">
        <v>0.01</v>
      </c>
      <c r="AM58" s="3">
        <v>4.6500000000000004</v>
      </c>
      <c r="AN58" s="3">
        <v>7.0000000000000007E-2</v>
      </c>
      <c r="AO58" s="3">
        <v>0</v>
      </c>
      <c r="AP58" s="3">
        <v>13.12</v>
      </c>
      <c r="AQ58" s="3">
        <v>7.0000000000000007E-2</v>
      </c>
      <c r="AR58" s="3">
        <v>0</v>
      </c>
      <c r="AS58" s="3">
        <v>0.01</v>
      </c>
      <c r="AT58" s="3">
        <v>1.91</v>
      </c>
      <c r="AU58" s="3">
        <v>11.34</v>
      </c>
      <c r="AV58" s="3">
        <v>0</v>
      </c>
      <c r="AW58" s="3">
        <v>8.1300000000000008</v>
      </c>
      <c r="AX58" s="3">
        <v>1.82</v>
      </c>
      <c r="AY58" s="3">
        <v>4.62</v>
      </c>
      <c r="AZ58" s="3">
        <v>2.92</v>
      </c>
      <c r="BA58" s="3">
        <v>7.7</v>
      </c>
      <c r="BB58" s="3">
        <v>0.43</v>
      </c>
      <c r="BC58" s="3">
        <v>0.01</v>
      </c>
    </row>
    <row r="59" spans="1:55" x14ac:dyDescent="0.3">
      <c r="A59" s="3" t="s">
        <v>224</v>
      </c>
      <c r="B59" s="3" t="s">
        <v>225</v>
      </c>
      <c r="C59" s="3" t="s">
        <v>226</v>
      </c>
      <c r="D59" s="3">
        <v>547</v>
      </c>
      <c r="E59" s="3">
        <v>885</v>
      </c>
      <c r="F59" s="3">
        <v>68.28</v>
      </c>
      <c r="G59" s="3">
        <v>0.25</v>
      </c>
      <c r="H59" s="3">
        <v>4927</v>
      </c>
      <c r="I59" s="3">
        <v>1.53</v>
      </c>
      <c r="J59" s="3">
        <v>24.59</v>
      </c>
      <c r="K59" s="3">
        <v>364.56</v>
      </c>
      <c r="L59" s="3">
        <v>214.47</v>
      </c>
      <c r="M59" s="3">
        <v>101.99</v>
      </c>
      <c r="N59" s="3">
        <v>5.73</v>
      </c>
      <c r="O59" s="3">
        <v>12.14</v>
      </c>
      <c r="P59" s="3">
        <v>7.93</v>
      </c>
      <c r="Q59" s="3">
        <v>1.3</v>
      </c>
      <c r="R59" s="3">
        <v>12.4</v>
      </c>
      <c r="S59" s="3">
        <v>18.100000000000001</v>
      </c>
      <c r="T59" s="3">
        <v>31.3</v>
      </c>
      <c r="U59" s="3">
        <v>11.7</v>
      </c>
      <c r="V59" s="8">
        <f t="shared" si="0"/>
        <v>73.5</v>
      </c>
      <c r="W59" s="3">
        <v>8.5</v>
      </c>
      <c r="X59" s="3">
        <v>5.9</v>
      </c>
      <c r="Y59" s="8">
        <f t="shared" si="1"/>
        <v>14.4</v>
      </c>
      <c r="Z59" s="3">
        <v>10.1</v>
      </c>
      <c r="AA59" s="3">
        <v>7.94</v>
      </c>
      <c r="AB59" s="3">
        <v>7.78</v>
      </c>
      <c r="AC59" s="3">
        <v>13.3</v>
      </c>
      <c r="AD59" s="3">
        <v>37.700000000000003</v>
      </c>
      <c r="AE59" s="3">
        <v>0.45</v>
      </c>
      <c r="AF59" s="3">
        <v>1.32</v>
      </c>
      <c r="AG59" s="3">
        <v>0.86</v>
      </c>
      <c r="AH59" s="3">
        <v>0.09</v>
      </c>
      <c r="AI59" s="3">
        <v>2.34</v>
      </c>
      <c r="AJ59" s="3">
        <v>0.1</v>
      </c>
      <c r="AK59" s="3">
        <v>0.06</v>
      </c>
      <c r="AL59" s="3">
        <v>0</v>
      </c>
      <c r="AM59" s="3">
        <v>8.2799999999999994</v>
      </c>
      <c r="AN59" s="3">
        <v>0.02</v>
      </c>
      <c r="AO59" s="3">
        <v>0</v>
      </c>
      <c r="AP59" s="3">
        <v>30.3</v>
      </c>
      <c r="AQ59" s="3">
        <v>0.02</v>
      </c>
      <c r="AR59" s="3">
        <v>0.21</v>
      </c>
      <c r="AS59" s="3">
        <v>7.0000000000000007E-2</v>
      </c>
      <c r="AT59" s="3">
        <v>6.02</v>
      </c>
      <c r="AU59" s="3">
        <v>49.44</v>
      </c>
      <c r="AV59" s="3">
        <v>0</v>
      </c>
      <c r="AW59" s="3">
        <v>41.36</v>
      </c>
      <c r="AX59" s="3">
        <v>6.71</v>
      </c>
      <c r="AY59" s="3">
        <v>20.9</v>
      </c>
      <c r="AZ59" s="3">
        <v>14.43</v>
      </c>
      <c r="BA59" s="3">
        <v>45.38</v>
      </c>
      <c r="BB59" s="3">
        <v>5.07</v>
      </c>
      <c r="BC59" s="3">
        <v>0.01</v>
      </c>
    </row>
    <row r="60" spans="1:55" x14ac:dyDescent="0.3">
      <c r="A60" s="3" t="s">
        <v>227</v>
      </c>
      <c r="B60" s="3" t="s">
        <v>228</v>
      </c>
      <c r="C60" s="3" t="s">
        <v>229</v>
      </c>
      <c r="D60" s="3">
        <v>345</v>
      </c>
      <c r="E60" s="3">
        <v>805</v>
      </c>
      <c r="F60" s="3">
        <v>111.96</v>
      </c>
      <c r="G60" s="3">
        <v>0.18</v>
      </c>
      <c r="H60" s="3">
        <v>20194</v>
      </c>
      <c r="I60" s="3">
        <v>1.24</v>
      </c>
      <c r="J60" s="3">
        <v>5.44</v>
      </c>
      <c r="K60" s="3">
        <v>327.29000000000002</v>
      </c>
      <c r="L60" s="3">
        <v>291.25</v>
      </c>
      <c r="M60" s="3">
        <v>54.58</v>
      </c>
      <c r="N60" s="3">
        <v>12.92</v>
      </c>
      <c r="O60" s="3">
        <v>6.86</v>
      </c>
      <c r="P60" s="3">
        <v>24.4</v>
      </c>
      <c r="Q60" s="3">
        <v>0.61</v>
      </c>
      <c r="R60" s="3">
        <v>16.600000000000001</v>
      </c>
      <c r="S60" s="3">
        <v>16.100000000000001</v>
      </c>
      <c r="T60" s="3">
        <v>26.6</v>
      </c>
      <c r="U60" s="3">
        <v>10.7</v>
      </c>
      <c r="V60" s="8">
        <f t="shared" si="0"/>
        <v>70</v>
      </c>
      <c r="W60" s="3">
        <v>8.4</v>
      </c>
      <c r="X60" s="3">
        <v>6.4</v>
      </c>
      <c r="Y60" s="8">
        <f t="shared" si="1"/>
        <v>14.8</v>
      </c>
      <c r="Z60" s="3">
        <v>13.4</v>
      </c>
      <c r="AA60" s="3">
        <v>7.92</v>
      </c>
      <c r="AB60" s="3">
        <v>7.86</v>
      </c>
      <c r="AC60" s="3">
        <v>10.6</v>
      </c>
      <c r="AD60" s="3">
        <v>82.6</v>
      </c>
      <c r="AE60" s="3">
        <v>0.99</v>
      </c>
      <c r="AF60" s="3">
        <v>1.85</v>
      </c>
      <c r="AG60" s="3">
        <v>0.85</v>
      </c>
      <c r="AH60" s="3">
        <v>7.0000000000000007E-2</v>
      </c>
      <c r="AI60" s="3">
        <v>2.4</v>
      </c>
      <c r="AJ60" s="3">
        <v>0.12</v>
      </c>
      <c r="AK60" s="3">
        <v>0.05</v>
      </c>
      <c r="AL60" s="3">
        <v>0</v>
      </c>
      <c r="AM60" s="3">
        <v>9.0399999999999991</v>
      </c>
      <c r="AN60" s="3">
        <v>0.01</v>
      </c>
      <c r="AO60" s="3">
        <v>0</v>
      </c>
      <c r="AP60" s="3">
        <v>28.42</v>
      </c>
      <c r="AQ60" s="3">
        <v>0.01</v>
      </c>
      <c r="AR60" s="3">
        <v>0.45</v>
      </c>
      <c r="AS60" s="3">
        <v>7.0000000000000007E-2</v>
      </c>
      <c r="AT60" s="3">
        <v>5.61</v>
      </c>
      <c r="AU60" s="3">
        <v>50.44</v>
      </c>
      <c r="AV60" s="3">
        <v>0.45</v>
      </c>
      <c r="AW60" s="3">
        <v>38.06</v>
      </c>
      <c r="AX60" s="3">
        <v>6.72</v>
      </c>
      <c r="AY60" s="3">
        <v>24.1</v>
      </c>
      <c r="AZ60" s="3">
        <v>13.33</v>
      </c>
      <c r="BA60" s="3">
        <v>41.53</v>
      </c>
      <c r="BB60" s="3">
        <v>6.07</v>
      </c>
      <c r="BC60" s="3">
        <v>0.01</v>
      </c>
    </row>
    <row r="61" spans="1:55" x14ac:dyDescent="0.3">
      <c r="A61" s="3" t="s">
        <v>230</v>
      </c>
      <c r="B61" s="3" t="s">
        <v>231</v>
      </c>
      <c r="C61" s="3" t="s">
        <v>232</v>
      </c>
      <c r="D61" s="3">
        <v>273</v>
      </c>
      <c r="E61" s="3">
        <v>310</v>
      </c>
      <c r="F61" s="3">
        <v>435.95</v>
      </c>
      <c r="G61" s="3">
        <v>0.02</v>
      </c>
      <c r="H61" s="3">
        <v>338.39</v>
      </c>
      <c r="I61" s="3">
        <v>0.24</v>
      </c>
      <c r="J61" s="3">
        <v>41</v>
      </c>
      <c r="K61" s="3">
        <v>125.31</v>
      </c>
      <c r="L61" s="3">
        <v>31.56</v>
      </c>
      <c r="M61" s="3">
        <v>35.4</v>
      </c>
      <c r="N61" s="3">
        <v>4.96</v>
      </c>
      <c r="O61" s="3">
        <v>2.72</v>
      </c>
      <c r="P61" s="3">
        <v>3.49</v>
      </c>
      <c r="Q61" s="3">
        <v>1.02</v>
      </c>
      <c r="R61" s="3">
        <v>8.6999999999999993</v>
      </c>
      <c r="S61" s="3">
        <v>34.299999999999997</v>
      </c>
      <c r="T61" s="3">
        <v>36</v>
      </c>
      <c r="U61" s="3">
        <v>10.1</v>
      </c>
      <c r="V61" s="8">
        <f t="shared" si="0"/>
        <v>89.1</v>
      </c>
      <c r="W61" s="3">
        <v>5.3</v>
      </c>
      <c r="X61" s="3">
        <v>0.4</v>
      </c>
      <c r="Y61" s="8">
        <f t="shared" si="1"/>
        <v>5.7</v>
      </c>
      <c r="Z61" s="3">
        <v>3.3</v>
      </c>
      <c r="AA61" s="3">
        <v>8.02</v>
      </c>
      <c r="AB61" s="3">
        <v>7.84</v>
      </c>
      <c r="AC61" s="3">
        <v>1.4</v>
      </c>
      <c r="AD61" s="3">
        <v>0</v>
      </c>
      <c r="AE61" s="3">
        <v>0</v>
      </c>
      <c r="AF61" s="3">
        <v>0.36</v>
      </c>
      <c r="AG61" s="3">
        <v>0.36</v>
      </c>
      <c r="AH61" s="3">
        <v>0.04</v>
      </c>
      <c r="AI61" s="3">
        <v>0.08</v>
      </c>
      <c r="AJ61" s="3">
        <v>0.03</v>
      </c>
      <c r="AK61" s="3">
        <v>0.02</v>
      </c>
      <c r="AL61" s="3">
        <v>0</v>
      </c>
      <c r="AM61" s="3">
        <v>1.4</v>
      </c>
      <c r="AN61" s="3">
        <v>0.11</v>
      </c>
      <c r="AO61" s="3">
        <v>0</v>
      </c>
      <c r="AP61" s="3">
        <v>8.69</v>
      </c>
      <c r="AQ61" s="3">
        <v>0.11</v>
      </c>
      <c r="AR61" s="3">
        <v>0.08</v>
      </c>
      <c r="AS61" s="3">
        <v>0.01</v>
      </c>
      <c r="AT61" s="3">
        <v>2.2999999999999998</v>
      </c>
      <c r="AU61" s="3">
        <v>14.74</v>
      </c>
      <c r="AV61" s="3">
        <v>0.47</v>
      </c>
      <c r="AW61" s="3">
        <v>28.78</v>
      </c>
      <c r="AX61" s="3">
        <v>1.54</v>
      </c>
      <c r="AY61" s="3">
        <v>7.98</v>
      </c>
      <c r="AZ61" s="3">
        <v>2.67</v>
      </c>
      <c r="BA61" s="3">
        <v>8.25</v>
      </c>
      <c r="BB61" s="3">
        <v>0.83</v>
      </c>
      <c r="BC61" s="3">
        <v>0.01</v>
      </c>
    </row>
    <row r="62" spans="1:55" x14ac:dyDescent="0.3">
      <c r="A62" s="3" t="s">
        <v>233</v>
      </c>
      <c r="B62" s="3" t="s">
        <v>234</v>
      </c>
      <c r="C62" s="3" t="s">
        <v>235</v>
      </c>
      <c r="D62" s="3">
        <v>358</v>
      </c>
      <c r="E62" s="3">
        <v>344</v>
      </c>
      <c r="F62" s="3">
        <v>445.89</v>
      </c>
      <c r="G62" s="3">
        <v>0.01</v>
      </c>
      <c r="H62" s="3">
        <v>250.32</v>
      </c>
      <c r="I62" s="3">
        <v>0.16</v>
      </c>
      <c r="J62" s="3">
        <v>43.69</v>
      </c>
      <c r="K62" s="3">
        <v>100.96</v>
      </c>
      <c r="L62" s="3">
        <v>41.96</v>
      </c>
      <c r="M62" s="3">
        <v>26.59</v>
      </c>
      <c r="N62" s="3">
        <v>5.41</v>
      </c>
      <c r="O62" s="3">
        <v>1.99</v>
      </c>
      <c r="P62" s="3">
        <v>4</v>
      </c>
      <c r="Q62" s="3">
        <v>0.32</v>
      </c>
      <c r="R62" s="3">
        <v>10.3</v>
      </c>
      <c r="S62" s="3">
        <v>32.200000000000003</v>
      </c>
      <c r="T62" s="3">
        <v>34.6</v>
      </c>
      <c r="U62" s="3">
        <v>11.5</v>
      </c>
      <c r="V62" s="8">
        <f t="shared" si="0"/>
        <v>88.6</v>
      </c>
      <c r="W62" s="3">
        <v>5</v>
      </c>
      <c r="X62" s="3">
        <v>0.5</v>
      </c>
      <c r="Y62" s="8">
        <f t="shared" si="1"/>
        <v>5.5</v>
      </c>
      <c r="Z62" s="3">
        <v>3.9</v>
      </c>
      <c r="AA62" s="3">
        <v>5.64</v>
      </c>
      <c r="AB62" s="3">
        <v>5.07</v>
      </c>
      <c r="AC62" s="3">
        <v>1.1000000000000001</v>
      </c>
      <c r="AD62" s="3">
        <v>0</v>
      </c>
      <c r="AE62" s="3">
        <v>0</v>
      </c>
      <c r="AF62" s="3">
        <v>0.24</v>
      </c>
      <c r="AG62" s="3">
        <v>0.24</v>
      </c>
      <c r="AH62" s="3">
        <v>0.03</v>
      </c>
      <c r="AI62" s="3">
        <v>7.0000000000000007E-2</v>
      </c>
      <c r="AJ62" s="3">
        <v>0.03</v>
      </c>
      <c r="AK62" s="3">
        <v>0.01</v>
      </c>
      <c r="AL62" s="3">
        <v>0</v>
      </c>
      <c r="AM62" s="3">
        <v>1.29</v>
      </c>
      <c r="AN62" s="3">
        <v>0.13</v>
      </c>
      <c r="AO62" s="3">
        <v>0</v>
      </c>
      <c r="AP62" s="3">
        <v>8.69</v>
      </c>
      <c r="AQ62" s="3">
        <v>0.13</v>
      </c>
      <c r="AR62" s="3">
        <v>0.03</v>
      </c>
      <c r="AS62" s="3">
        <v>0.01</v>
      </c>
      <c r="AT62" s="3">
        <v>2.2599999999999998</v>
      </c>
      <c r="AU62" s="3">
        <v>16.84</v>
      </c>
      <c r="AV62" s="3">
        <v>0.2</v>
      </c>
      <c r="AW62" s="3">
        <v>30.17</v>
      </c>
      <c r="AX62" s="3">
        <v>1.69</v>
      </c>
      <c r="AY62" s="3">
        <v>5.22</v>
      </c>
      <c r="AZ62" s="3">
        <v>2.4900000000000002</v>
      </c>
      <c r="BA62" s="3">
        <v>9.5299999999999994</v>
      </c>
      <c r="BB62" s="3">
        <v>0.85</v>
      </c>
      <c r="BC62" s="3">
        <v>0.01</v>
      </c>
    </row>
    <row r="63" spans="1:55" x14ac:dyDescent="0.3">
      <c r="A63" s="3" t="s">
        <v>236</v>
      </c>
      <c r="B63" s="3" t="s">
        <v>237</v>
      </c>
      <c r="C63" s="3" t="s">
        <v>238</v>
      </c>
      <c r="D63" s="3">
        <v>764</v>
      </c>
      <c r="E63" s="3">
        <v>500</v>
      </c>
      <c r="F63" s="3">
        <v>537</v>
      </c>
      <c r="G63" s="3">
        <v>7.0000000000000007E-2</v>
      </c>
      <c r="H63" s="3">
        <v>513.61</v>
      </c>
      <c r="I63" s="3">
        <v>0.46</v>
      </c>
      <c r="J63" s="3">
        <v>72.2</v>
      </c>
      <c r="K63" s="3">
        <v>217.28</v>
      </c>
      <c r="L63" s="3">
        <v>90.15</v>
      </c>
      <c r="M63" s="3">
        <v>86.1</v>
      </c>
      <c r="N63" s="3">
        <v>5.85</v>
      </c>
      <c r="O63" s="3">
        <v>3.99</v>
      </c>
      <c r="P63" s="3">
        <v>5.04</v>
      </c>
      <c r="Q63" s="3">
        <v>0.59</v>
      </c>
      <c r="R63" s="3">
        <v>11.4</v>
      </c>
      <c r="S63" s="3">
        <v>26.1</v>
      </c>
      <c r="T63" s="3">
        <v>36.799999999999997</v>
      </c>
      <c r="U63" s="3">
        <v>11.1</v>
      </c>
      <c r="V63" s="8">
        <f t="shared" si="0"/>
        <v>85.399999999999991</v>
      </c>
      <c r="W63" s="3">
        <v>5.7</v>
      </c>
      <c r="X63" s="3">
        <v>1.5</v>
      </c>
      <c r="Y63" s="8">
        <f t="shared" si="1"/>
        <v>7.2</v>
      </c>
      <c r="Z63" s="3">
        <v>5.7</v>
      </c>
      <c r="AA63" s="3">
        <v>5.38</v>
      </c>
      <c r="AB63" s="3">
        <v>4.96</v>
      </c>
      <c r="AC63" s="3">
        <v>2.4</v>
      </c>
      <c r="AD63" s="3">
        <v>0</v>
      </c>
      <c r="AE63" s="3">
        <v>0</v>
      </c>
      <c r="AF63" s="3">
        <v>0.62</v>
      </c>
      <c r="AG63" s="3">
        <v>0.62</v>
      </c>
      <c r="AH63" s="3">
        <v>7.0000000000000007E-2</v>
      </c>
      <c r="AI63" s="3">
        <v>0.14000000000000001</v>
      </c>
      <c r="AJ63" s="3">
        <v>0.05</v>
      </c>
      <c r="AK63" s="3">
        <v>0.02</v>
      </c>
      <c r="AL63" s="3">
        <v>0</v>
      </c>
      <c r="AM63" s="3">
        <v>2.69</v>
      </c>
      <c r="AN63" s="3">
        <v>0.11</v>
      </c>
      <c r="AO63" s="3">
        <v>0</v>
      </c>
      <c r="AP63" s="3">
        <v>8.01</v>
      </c>
      <c r="AQ63" s="3">
        <v>0.11</v>
      </c>
      <c r="AR63" s="3">
        <v>0</v>
      </c>
      <c r="AS63" s="3">
        <v>0.02</v>
      </c>
      <c r="AT63" s="3">
        <v>3.29</v>
      </c>
      <c r="AU63" s="3">
        <v>20.94</v>
      </c>
      <c r="AV63" s="3">
        <v>0.06</v>
      </c>
      <c r="AW63" s="3">
        <v>40.98</v>
      </c>
      <c r="AX63" s="3">
        <v>3.06</v>
      </c>
      <c r="AY63" s="3">
        <v>10.4</v>
      </c>
      <c r="AZ63" s="3">
        <v>4.76</v>
      </c>
      <c r="BA63" s="3">
        <v>13.17</v>
      </c>
      <c r="BB63" s="3">
        <v>1.28</v>
      </c>
      <c r="BC63" s="3">
        <v>0.01</v>
      </c>
    </row>
    <row r="64" spans="1:55" x14ac:dyDescent="0.3">
      <c r="A64" s="3" t="s">
        <v>239</v>
      </c>
      <c r="B64" s="3" t="s">
        <v>240</v>
      </c>
      <c r="C64" s="3" t="s">
        <v>241</v>
      </c>
      <c r="D64" s="3">
        <v>717</v>
      </c>
      <c r="E64" s="3">
        <v>442</v>
      </c>
      <c r="F64" s="3">
        <v>490</v>
      </c>
      <c r="G64" s="3">
        <v>0.02</v>
      </c>
      <c r="H64" s="3">
        <v>595.65</v>
      </c>
      <c r="I64" s="3">
        <v>0.35</v>
      </c>
      <c r="J64" s="3">
        <v>44.1</v>
      </c>
      <c r="K64" s="3">
        <v>193.15</v>
      </c>
      <c r="L64" s="3">
        <v>128.71</v>
      </c>
      <c r="M64" s="3">
        <v>51.7</v>
      </c>
      <c r="N64" s="3">
        <v>5.81</v>
      </c>
      <c r="O64" s="3">
        <v>1.4</v>
      </c>
      <c r="P64" s="3">
        <v>4.26</v>
      </c>
      <c r="Q64" s="3">
        <v>0.24</v>
      </c>
      <c r="R64" s="3">
        <v>8.8000000000000007</v>
      </c>
      <c r="S64" s="3">
        <v>21.1</v>
      </c>
      <c r="T64" s="3">
        <v>37</v>
      </c>
      <c r="U64" s="3">
        <v>15.1</v>
      </c>
      <c r="V64" s="8">
        <f>SUM(R64:U64)</f>
        <v>82</v>
      </c>
      <c r="W64" s="3">
        <v>6.4</v>
      </c>
      <c r="X64" s="3">
        <v>1.3</v>
      </c>
      <c r="Y64" s="8">
        <f t="shared" si="1"/>
        <v>7.7</v>
      </c>
      <c r="Z64" s="3">
        <v>8.5</v>
      </c>
      <c r="AA64" s="3">
        <v>5.66</v>
      </c>
      <c r="AB64" s="3">
        <v>5.07</v>
      </c>
      <c r="AC64" s="3">
        <v>1.6</v>
      </c>
      <c r="AD64" s="3">
        <v>0</v>
      </c>
      <c r="AE64" s="3">
        <v>0</v>
      </c>
      <c r="AF64" s="3">
        <v>0.38</v>
      </c>
      <c r="AG64" s="3">
        <v>0.38</v>
      </c>
      <c r="AH64" s="3">
        <v>0.05</v>
      </c>
      <c r="AI64" s="3">
        <v>0.19</v>
      </c>
      <c r="AJ64" s="3">
        <v>0.08</v>
      </c>
      <c r="AK64" s="3">
        <v>0.03</v>
      </c>
      <c r="AL64" s="3">
        <v>0</v>
      </c>
      <c r="AM64" s="3">
        <v>3.51</v>
      </c>
      <c r="AN64" s="3">
        <v>0.08</v>
      </c>
      <c r="AO64" s="3">
        <v>0</v>
      </c>
      <c r="AP64" s="3">
        <v>8.34</v>
      </c>
      <c r="AQ64" s="3">
        <v>0.08</v>
      </c>
      <c r="AR64" s="3">
        <v>0</v>
      </c>
      <c r="AS64" s="3">
        <v>0.01</v>
      </c>
      <c r="AT64" s="3">
        <v>3.52</v>
      </c>
      <c r="AU64" s="3">
        <v>25.24</v>
      </c>
      <c r="AV64" s="3">
        <v>0.16</v>
      </c>
      <c r="AW64" s="3">
        <v>41.2</v>
      </c>
      <c r="AX64" s="3">
        <v>3.39</v>
      </c>
      <c r="AY64" s="3">
        <v>12.1</v>
      </c>
      <c r="AZ64" s="3">
        <v>4.84</v>
      </c>
      <c r="BA64" s="3">
        <v>12.96</v>
      </c>
      <c r="BB64" s="3">
        <v>1.46</v>
      </c>
      <c r="BC64" s="3">
        <v>0.01</v>
      </c>
    </row>
    <row r="66" spans="1:55" s="6" customFormat="1" x14ac:dyDescent="0.3">
      <c r="A66" s="5" t="s">
        <v>0</v>
      </c>
      <c r="B66" s="5" t="s">
        <v>1</v>
      </c>
      <c r="C66" s="5" t="s">
        <v>2</v>
      </c>
      <c r="D66" s="5" t="s">
        <v>3</v>
      </c>
      <c r="E66" s="5" t="s">
        <v>4</v>
      </c>
      <c r="F66" s="5" t="s">
        <v>5</v>
      </c>
      <c r="G66" s="5" t="s">
        <v>6</v>
      </c>
      <c r="H66" s="5" t="s">
        <v>7</v>
      </c>
      <c r="I66" s="5" t="s">
        <v>8</v>
      </c>
      <c r="J66" s="5" t="s">
        <v>9</v>
      </c>
      <c r="K66" s="5" t="s">
        <v>10</v>
      </c>
      <c r="L66" s="5" t="s">
        <v>11</v>
      </c>
      <c r="M66" s="5" t="s">
        <v>12</v>
      </c>
      <c r="N66" s="5" t="s">
        <v>13</v>
      </c>
      <c r="O66" s="5" t="s">
        <v>14</v>
      </c>
      <c r="P66" s="5" t="s">
        <v>15</v>
      </c>
      <c r="Q66" s="5" t="s">
        <v>16</v>
      </c>
      <c r="R66" s="5" t="s">
        <v>17</v>
      </c>
      <c r="S66" s="5" t="s">
        <v>18</v>
      </c>
      <c r="T66" s="5" t="s">
        <v>19</v>
      </c>
      <c r="U66" s="5" t="s">
        <v>20</v>
      </c>
      <c r="V66" s="9" t="s">
        <v>249</v>
      </c>
      <c r="W66" s="5" t="s">
        <v>21</v>
      </c>
      <c r="X66" s="5" t="s">
        <v>22</v>
      </c>
      <c r="Y66" s="9" t="s">
        <v>250</v>
      </c>
      <c r="Z66" s="5" t="s">
        <v>23</v>
      </c>
      <c r="AA66" s="5" t="s">
        <v>24</v>
      </c>
      <c r="AB66" s="5" t="s">
        <v>25</v>
      </c>
      <c r="AC66" s="5" t="s">
        <v>26</v>
      </c>
      <c r="AD66" s="5" t="s">
        <v>27</v>
      </c>
      <c r="AE66" s="5" t="s">
        <v>28</v>
      </c>
      <c r="AF66" s="5" t="s">
        <v>29</v>
      </c>
      <c r="AG66" s="5" t="s">
        <v>30</v>
      </c>
      <c r="AH66" s="5" t="s">
        <v>31</v>
      </c>
      <c r="AI66" s="5" t="s">
        <v>32</v>
      </c>
      <c r="AJ66" s="5" t="s">
        <v>33</v>
      </c>
      <c r="AK66" s="5" t="s">
        <v>34</v>
      </c>
      <c r="AL66" s="5" t="s">
        <v>35</v>
      </c>
      <c r="AM66" s="5" t="s">
        <v>36</v>
      </c>
      <c r="AN66" s="5" t="s">
        <v>37</v>
      </c>
      <c r="AO66" s="5" t="s">
        <v>38</v>
      </c>
      <c r="AP66" s="5" t="s">
        <v>39</v>
      </c>
      <c r="AQ66" s="5" t="s">
        <v>40</v>
      </c>
      <c r="AR66" s="5" t="s">
        <v>41</v>
      </c>
      <c r="AS66" s="5" t="s">
        <v>42</v>
      </c>
      <c r="AT66" s="5" t="s">
        <v>43</v>
      </c>
      <c r="AU66" s="5" t="s">
        <v>44</v>
      </c>
      <c r="AV66" s="5" t="s">
        <v>45</v>
      </c>
      <c r="AW66" s="5" t="s">
        <v>46</v>
      </c>
      <c r="AX66" s="5" t="s">
        <v>47</v>
      </c>
      <c r="AY66" s="5" t="s">
        <v>48</v>
      </c>
      <c r="AZ66" s="5" t="s">
        <v>49</v>
      </c>
      <c r="BA66" s="5" t="s">
        <v>50</v>
      </c>
      <c r="BB66" s="5" t="s">
        <v>51</v>
      </c>
      <c r="BC66" s="5" t="s">
        <v>52</v>
      </c>
    </row>
    <row r="67" spans="1:5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W67" s="1"/>
      <c r="X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3">
      <c r="A68" s="1"/>
      <c r="C68" s="5" t="s">
        <v>242</v>
      </c>
      <c r="D68" s="1">
        <f>COUNT(D2:D64)</f>
        <v>63</v>
      </c>
      <c r="E68" s="1">
        <f t="shared" ref="E68:BC68" si="2">COUNT(E2:E64)</f>
        <v>63</v>
      </c>
      <c r="F68" s="1">
        <f t="shared" si="2"/>
        <v>63</v>
      </c>
      <c r="G68" s="1">
        <f t="shared" si="2"/>
        <v>63</v>
      </c>
      <c r="H68" s="1">
        <f t="shared" si="2"/>
        <v>63</v>
      </c>
      <c r="I68" s="1">
        <f t="shared" si="2"/>
        <v>63</v>
      </c>
      <c r="J68" s="1">
        <f t="shared" si="2"/>
        <v>63</v>
      </c>
      <c r="K68" s="1">
        <f t="shared" si="2"/>
        <v>63</v>
      </c>
      <c r="L68" s="1">
        <f t="shared" si="2"/>
        <v>63</v>
      </c>
      <c r="M68" s="1">
        <f t="shared" si="2"/>
        <v>63</v>
      </c>
      <c r="N68" s="1">
        <f t="shared" si="2"/>
        <v>63</v>
      </c>
      <c r="O68" s="1">
        <f t="shared" si="2"/>
        <v>63</v>
      </c>
      <c r="P68" s="1">
        <f t="shared" si="2"/>
        <v>63</v>
      </c>
      <c r="Q68" s="1">
        <f t="shared" si="2"/>
        <v>63</v>
      </c>
      <c r="R68" s="1">
        <f t="shared" si="2"/>
        <v>63</v>
      </c>
      <c r="S68" s="1">
        <f t="shared" si="2"/>
        <v>63</v>
      </c>
      <c r="T68" s="1">
        <f t="shared" si="2"/>
        <v>63</v>
      </c>
      <c r="U68" s="1">
        <f t="shared" si="2"/>
        <v>63</v>
      </c>
      <c r="V68" s="8">
        <f t="shared" ref="V68" si="3">COUNT(V2:V64)</f>
        <v>63</v>
      </c>
      <c r="W68" s="1">
        <f t="shared" si="2"/>
        <v>63</v>
      </c>
      <c r="X68" s="1">
        <f t="shared" si="2"/>
        <v>63</v>
      </c>
      <c r="Y68" s="8">
        <f t="shared" ref="Y68" si="4">COUNT(Y2:Y64)</f>
        <v>63</v>
      </c>
      <c r="Z68" s="1">
        <f t="shared" si="2"/>
        <v>63</v>
      </c>
      <c r="AA68" s="1">
        <f t="shared" si="2"/>
        <v>63</v>
      </c>
      <c r="AB68" s="1">
        <f t="shared" si="2"/>
        <v>63</v>
      </c>
      <c r="AC68" s="1">
        <f t="shared" si="2"/>
        <v>63</v>
      </c>
      <c r="AD68" s="1">
        <f t="shared" si="2"/>
        <v>63</v>
      </c>
      <c r="AE68" s="1">
        <f t="shared" si="2"/>
        <v>63</v>
      </c>
      <c r="AF68" s="1">
        <f t="shared" si="2"/>
        <v>63</v>
      </c>
      <c r="AG68" s="1">
        <f t="shared" si="2"/>
        <v>63</v>
      </c>
      <c r="AH68" s="1">
        <f t="shared" si="2"/>
        <v>63</v>
      </c>
      <c r="AI68" s="1">
        <f t="shared" si="2"/>
        <v>63</v>
      </c>
      <c r="AJ68" s="1">
        <f t="shared" si="2"/>
        <v>63</v>
      </c>
      <c r="AK68" s="1">
        <f t="shared" si="2"/>
        <v>63</v>
      </c>
      <c r="AL68" s="1">
        <f t="shared" si="2"/>
        <v>63</v>
      </c>
      <c r="AM68" s="1">
        <f t="shared" si="2"/>
        <v>63</v>
      </c>
      <c r="AN68" s="1">
        <f t="shared" si="2"/>
        <v>63</v>
      </c>
      <c r="AO68" s="1">
        <f t="shared" si="2"/>
        <v>63</v>
      </c>
      <c r="AP68" s="1">
        <f t="shared" si="2"/>
        <v>63</v>
      </c>
      <c r="AQ68" s="1">
        <f t="shared" si="2"/>
        <v>63</v>
      </c>
      <c r="AR68" s="1">
        <f t="shared" si="2"/>
        <v>63</v>
      </c>
      <c r="AS68" s="1">
        <f t="shared" si="2"/>
        <v>63</v>
      </c>
      <c r="AT68" s="1">
        <f t="shared" si="2"/>
        <v>63</v>
      </c>
      <c r="AU68" s="1">
        <f t="shared" si="2"/>
        <v>63</v>
      </c>
      <c r="AV68" s="1">
        <f t="shared" si="2"/>
        <v>63</v>
      </c>
      <c r="AW68" s="1">
        <f t="shared" si="2"/>
        <v>63</v>
      </c>
      <c r="AX68" s="1">
        <f t="shared" si="2"/>
        <v>63</v>
      </c>
      <c r="AY68" s="1">
        <f t="shared" si="2"/>
        <v>63</v>
      </c>
      <c r="AZ68" s="1">
        <f t="shared" si="2"/>
        <v>63</v>
      </c>
      <c r="BA68" s="1">
        <f t="shared" si="2"/>
        <v>63</v>
      </c>
      <c r="BB68" s="1">
        <f t="shared" si="2"/>
        <v>63</v>
      </c>
      <c r="BC68" s="1">
        <f t="shared" si="2"/>
        <v>63</v>
      </c>
    </row>
    <row r="69" spans="1:55" x14ac:dyDescent="0.3">
      <c r="A69" s="4"/>
      <c r="C69" s="7" t="s">
        <v>243</v>
      </c>
      <c r="D69" s="2">
        <f>MIN(D2:D64)</f>
        <v>44</v>
      </c>
      <c r="E69" s="2">
        <f t="shared" ref="E69:BC69" si="5">MIN(E2:E64)</f>
        <v>152</v>
      </c>
      <c r="F69" s="2">
        <f t="shared" si="5"/>
        <v>2.2999999999999998</v>
      </c>
      <c r="G69" s="2">
        <f t="shared" si="5"/>
        <v>-0.03</v>
      </c>
      <c r="H69" s="2">
        <f t="shared" si="5"/>
        <v>7.99</v>
      </c>
      <c r="I69" s="2">
        <f t="shared" si="5"/>
        <v>-0.01</v>
      </c>
      <c r="J69" s="2">
        <f t="shared" si="5"/>
        <v>2.71</v>
      </c>
      <c r="K69" s="2">
        <f t="shared" si="5"/>
        <v>13.34</v>
      </c>
      <c r="L69" s="2">
        <f t="shared" si="5"/>
        <v>3.48</v>
      </c>
      <c r="M69" s="2">
        <f t="shared" si="5"/>
        <v>-0.36</v>
      </c>
      <c r="N69" s="2">
        <f t="shared" si="5"/>
        <v>3.1</v>
      </c>
      <c r="O69" s="2">
        <f t="shared" si="5"/>
        <v>0</v>
      </c>
      <c r="P69" s="2">
        <f t="shared" si="5"/>
        <v>0</v>
      </c>
      <c r="Q69" s="2">
        <f t="shared" si="5"/>
        <v>0</v>
      </c>
      <c r="R69" s="2">
        <f t="shared" si="5"/>
        <v>0</v>
      </c>
      <c r="S69" s="2">
        <f t="shared" si="5"/>
        <v>6.8</v>
      </c>
      <c r="T69" s="2">
        <f t="shared" si="5"/>
        <v>2.9</v>
      </c>
      <c r="U69" s="2">
        <f t="shared" si="5"/>
        <v>2.6</v>
      </c>
      <c r="V69" s="10">
        <f t="shared" ref="V69" si="6">MIN(V2:V64)</f>
        <v>58.2</v>
      </c>
      <c r="W69" s="2">
        <f t="shared" si="5"/>
        <v>2.6</v>
      </c>
      <c r="X69" s="2">
        <f t="shared" si="5"/>
        <v>0</v>
      </c>
      <c r="Y69" s="10">
        <f t="shared" ref="Y69" si="7">MIN(Y2:Y64)</f>
        <v>3.1</v>
      </c>
      <c r="Z69" s="2">
        <f t="shared" si="5"/>
        <v>0</v>
      </c>
      <c r="AA69" s="2">
        <f t="shared" si="5"/>
        <v>4.5199999999999996</v>
      </c>
      <c r="AB69" s="2">
        <f t="shared" si="5"/>
        <v>4.04</v>
      </c>
      <c r="AC69" s="2">
        <f t="shared" si="5"/>
        <v>0.9</v>
      </c>
      <c r="AD69" s="2">
        <f t="shared" si="5"/>
        <v>0</v>
      </c>
      <c r="AE69" s="2">
        <f t="shared" si="5"/>
        <v>0</v>
      </c>
      <c r="AF69" s="2">
        <f t="shared" si="5"/>
        <v>0.12</v>
      </c>
      <c r="AG69" s="2">
        <f t="shared" si="5"/>
        <v>0.05</v>
      </c>
      <c r="AH69" s="2">
        <f t="shared" si="5"/>
        <v>0.01</v>
      </c>
      <c r="AI69" s="2">
        <f t="shared" si="5"/>
        <v>0.01</v>
      </c>
      <c r="AJ69" s="2">
        <f t="shared" si="5"/>
        <v>0.01</v>
      </c>
      <c r="AK69" s="2">
        <f t="shared" si="5"/>
        <v>0.01</v>
      </c>
      <c r="AL69" s="2">
        <f t="shared" si="5"/>
        <v>0</v>
      </c>
      <c r="AM69" s="2">
        <f t="shared" si="5"/>
        <v>0.14000000000000001</v>
      </c>
      <c r="AN69" s="2">
        <f t="shared" si="5"/>
        <v>0</v>
      </c>
      <c r="AO69" s="2">
        <f t="shared" si="5"/>
        <v>0</v>
      </c>
      <c r="AP69" s="2">
        <f t="shared" si="5"/>
        <v>0.6</v>
      </c>
      <c r="AQ69" s="2">
        <f t="shared" si="5"/>
        <v>0</v>
      </c>
      <c r="AR69" s="2">
        <f t="shared" si="5"/>
        <v>0</v>
      </c>
      <c r="AS69" s="2">
        <f t="shared" si="5"/>
        <v>0</v>
      </c>
      <c r="AT69" s="2">
        <f t="shared" si="5"/>
        <v>0.47</v>
      </c>
      <c r="AU69" s="2">
        <f t="shared" si="5"/>
        <v>1.57</v>
      </c>
      <c r="AV69" s="2">
        <f t="shared" si="5"/>
        <v>0</v>
      </c>
      <c r="AW69" s="2">
        <f t="shared" si="5"/>
        <v>0</v>
      </c>
      <c r="AX69" s="2">
        <f t="shared" si="5"/>
        <v>0.13</v>
      </c>
      <c r="AY69" s="2">
        <f t="shared" si="5"/>
        <v>1.29</v>
      </c>
      <c r="AZ69" s="2">
        <f t="shared" si="5"/>
        <v>0.15</v>
      </c>
      <c r="BA69" s="2">
        <f t="shared" si="5"/>
        <v>-0.62</v>
      </c>
      <c r="BB69" s="2">
        <f t="shared" si="5"/>
        <v>0.1</v>
      </c>
      <c r="BC69" s="2">
        <f t="shared" si="5"/>
        <v>0</v>
      </c>
    </row>
    <row r="70" spans="1:55" x14ac:dyDescent="0.3">
      <c r="A70" s="4"/>
      <c r="C70" s="7" t="s">
        <v>244</v>
      </c>
      <c r="D70" s="2">
        <f>MAX(D2:D64)</f>
        <v>4213</v>
      </c>
      <c r="E70" s="2">
        <f t="shared" ref="E70:BC70" si="8">MAX(E2:E64)</f>
        <v>1839</v>
      </c>
      <c r="F70" s="2">
        <f t="shared" si="8"/>
        <v>539.87</v>
      </c>
      <c r="G70" s="2">
        <f t="shared" si="8"/>
        <v>1.44</v>
      </c>
      <c r="H70" s="2">
        <f t="shared" si="8"/>
        <v>33467</v>
      </c>
      <c r="I70" s="2">
        <f t="shared" si="8"/>
        <v>2.4900000000000002</v>
      </c>
      <c r="J70" s="2">
        <f t="shared" si="8"/>
        <v>534.89</v>
      </c>
      <c r="K70" s="2">
        <f t="shared" si="8"/>
        <v>414.38</v>
      </c>
      <c r="L70" s="2">
        <f t="shared" si="8"/>
        <v>523.95000000000005</v>
      </c>
      <c r="M70" s="2">
        <f t="shared" si="8"/>
        <v>186.96</v>
      </c>
      <c r="N70" s="2">
        <f t="shared" si="8"/>
        <v>97.56</v>
      </c>
      <c r="O70" s="2">
        <f t="shared" si="8"/>
        <v>90.29</v>
      </c>
      <c r="P70" s="2">
        <f t="shared" si="8"/>
        <v>50.89</v>
      </c>
      <c r="Q70" s="2">
        <f t="shared" si="8"/>
        <v>15.1</v>
      </c>
      <c r="R70" s="2">
        <f t="shared" si="8"/>
        <v>76.8</v>
      </c>
      <c r="S70" s="2">
        <f t="shared" si="8"/>
        <v>46.4</v>
      </c>
      <c r="T70" s="2">
        <f t="shared" si="8"/>
        <v>61</v>
      </c>
      <c r="U70" s="2">
        <f t="shared" si="8"/>
        <v>29.4</v>
      </c>
      <c r="V70" s="10">
        <f t="shared" ref="V70" si="9">MAX(V2:V64)</f>
        <v>94.7</v>
      </c>
      <c r="W70" s="2">
        <f t="shared" si="8"/>
        <v>14.6</v>
      </c>
      <c r="X70" s="2">
        <f t="shared" si="8"/>
        <v>59</v>
      </c>
      <c r="Y70" s="10">
        <f t="shared" ref="Y70" si="10">MAX(Y2:Y64)</f>
        <v>65</v>
      </c>
      <c r="Z70" s="2">
        <f t="shared" si="8"/>
        <v>22</v>
      </c>
      <c r="AA70" s="2">
        <f t="shared" si="8"/>
        <v>8.4</v>
      </c>
      <c r="AB70" s="2">
        <f t="shared" si="8"/>
        <v>8.08</v>
      </c>
      <c r="AC70" s="2">
        <f t="shared" si="8"/>
        <v>18.3</v>
      </c>
      <c r="AD70" s="2">
        <f t="shared" si="8"/>
        <v>259</v>
      </c>
      <c r="AE70" s="2">
        <f t="shared" si="8"/>
        <v>3.11</v>
      </c>
      <c r="AF70" s="2">
        <f t="shared" si="8"/>
        <v>3.78</v>
      </c>
      <c r="AG70" s="2">
        <f t="shared" si="8"/>
        <v>2.0299999999999998</v>
      </c>
      <c r="AH70" s="2">
        <f t="shared" si="8"/>
        <v>0.1</v>
      </c>
      <c r="AI70" s="2">
        <f t="shared" si="8"/>
        <v>2.62</v>
      </c>
      <c r="AJ70" s="2">
        <f t="shared" si="8"/>
        <v>0.27</v>
      </c>
      <c r="AK70" s="2">
        <f t="shared" si="8"/>
        <v>0.08</v>
      </c>
      <c r="AL70" s="2">
        <f t="shared" si="8"/>
        <v>0.04</v>
      </c>
      <c r="AM70" s="2">
        <f t="shared" si="8"/>
        <v>14.92</v>
      </c>
      <c r="AN70" s="2">
        <f t="shared" si="8"/>
        <v>0.42</v>
      </c>
      <c r="AO70" s="2">
        <f t="shared" si="8"/>
        <v>0</v>
      </c>
      <c r="AP70" s="2">
        <f t="shared" si="8"/>
        <v>37.659999999999997</v>
      </c>
      <c r="AQ70" s="2">
        <f t="shared" si="8"/>
        <v>0.42</v>
      </c>
      <c r="AR70" s="2">
        <f t="shared" si="8"/>
        <v>1.08</v>
      </c>
      <c r="AS70" s="2">
        <f t="shared" si="8"/>
        <v>0.46</v>
      </c>
      <c r="AT70" s="2">
        <f t="shared" si="8"/>
        <v>45.11</v>
      </c>
      <c r="AU70" s="2">
        <f t="shared" si="8"/>
        <v>86.03</v>
      </c>
      <c r="AV70" s="2">
        <f t="shared" si="8"/>
        <v>3.14</v>
      </c>
      <c r="AW70" s="2">
        <f t="shared" si="8"/>
        <v>48.7</v>
      </c>
      <c r="AX70" s="2">
        <f t="shared" si="8"/>
        <v>12.61</v>
      </c>
      <c r="AY70" s="2">
        <f t="shared" si="8"/>
        <v>59.9</v>
      </c>
      <c r="AZ70" s="2">
        <f t="shared" si="8"/>
        <v>50.17</v>
      </c>
      <c r="BA70" s="2">
        <f t="shared" si="8"/>
        <v>1340</v>
      </c>
      <c r="BB70" s="2">
        <f t="shared" si="8"/>
        <v>13.27</v>
      </c>
      <c r="BC70" s="2">
        <f t="shared" si="8"/>
        <v>0.99</v>
      </c>
    </row>
    <row r="71" spans="1:55" x14ac:dyDescent="0.3">
      <c r="A71" s="4"/>
      <c r="C71" s="7" t="s">
        <v>245</v>
      </c>
      <c r="D71" s="2">
        <f>AVERAGE(D2:D64)</f>
        <v>1692.1587301587301</v>
      </c>
      <c r="E71" s="2">
        <f t="shared" ref="E71:BC71" si="11">AVERAGE(E2:E64)</f>
        <v>874.41269841269843</v>
      </c>
      <c r="F71" s="2">
        <f t="shared" si="11"/>
        <v>258.50253968253969</v>
      </c>
      <c r="G71" s="2">
        <f t="shared" si="11"/>
        <v>0.13857142857142854</v>
      </c>
      <c r="H71" s="2">
        <f t="shared" si="11"/>
        <v>2037.2001587301588</v>
      </c>
      <c r="I71" s="2">
        <f t="shared" si="11"/>
        <v>0.4193650793650795</v>
      </c>
      <c r="J71" s="2">
        <f t="shared" si="11"/>
        <v>52.929841269841255</v>
      </c>
      <c r="K71" s="2">
        <f t="shared" si="11"/>
        <v>122.63793650793653</v>
      </c>
      <c r="L71" s="2">
        <f t="shared" si="11"/>
        <v>161.00888888888886</v>
      </c>
      <c r="M71" s="2">
        <f t="shared" si="11"/>
        <v>43.792857142857152</v>
      </c>
      <c r="N71" s="2">
        <f t="shared" si="11"/>
        <v>16.455873015873014</v>
      </c>
      <c r="O71" s="2">
        <f t="shared" si="11"/>
        <v>8.3738095238095216</v>
      </c>
      <c r="P71" s="2">
        <f t="shared" si="11"/>
        <v>4.480952380952381</v>
      </c>
      <c r="Q71" s="2">
        <f t="shared" si="11"/>
        <v>1.107460317460317</v>
      </c>
      <c r="R71" s="2">
        <f t="shared" si="11"/>
        <v>9.0730158730158745</v>
      </c>
      <c r="S71" s="2">
        <f t="shared" si="11"/>
        <v>27.18571428571428</v>
      </c>
      <c r="T71" s="2">
        <f t="shared" si="11"/>
        <v>41.533333333333339</v>
      </c>
      <c r="U71" s="2">
        <f t="shared" si="11"/>
        <v>9.1888888888888918</v>
      </c>
      <c r="V71" s="10">
        <f t="shared" ref="V71" si="12">AVERAGE(V2:V64)</f>
        <v>86.980952380952417</v>
      </c>
      <c r="W71" s="2">
        <f t="shared" si="11"/>
        <v>4.8063492063492053</v>
      </c>
      <c r="X71" s="2">
        <f t="shared" si="11"/>
        <v>2.4587301587301602</v>
      </c>
      <c r="Y71" s="10">
        <f t="shared" ref="Y71" si="13">AVERAGE(Y2:Y64)</f>
        <v>7.2650793650793659</v>
      </c>
      <c r="Z71" s="2">
        <f t="shared" si="11"/>
        <v>4.9603174603174605</v>
      </c>
      <c r="AA71" s="2">
        <f t="shared" si="11"/>
        <v>6.3647619047619033</v>
      </c>
      <c r="AB71" s="2">
        <f t="shared" si="11"/>
        <v>6.2301587301587276</v>
      </c>
      <c r="AC71" s="2">
        <f t="shared" si="11"/>
        <v>4.0517460317460321</v>
      </c>
      <c r="AD71" s="2">
        <f t="shared" si="11"/>
        <v>9.4523809523809543</v>
      </c>
      <c r="AE71" s="2">
        <f t="shared" si="11"/>
        <v>0.11349206349206342</v>
      </c>
      <c r="AF71" s="2">
        <f t="shared" si="11"/>
        <v>0.49571428571428566</v>
      </c>
      <c r="AG71" s="2">
        <f t="shared" si="11"/>
        <v>0.38174603174603172</v>
      </c>
      <c r="AH71" s="2">
        <f t="shared" si="11"/>
        <v>4.1111111111111112E-2</v>
      </c>
      <c r="AI71" s="2">
        <f t="shared" si="11"/>
        <v>0.44761904761904747</v>
      </c>
      <c r="AJ71" s="2">
        <f t="shared" si="11"/>
        <v>8.6507936507936478E-2</v>
      </c>
      <c r="AK71" s="2">
        <f t="shared" si="11"/>
        <v>2.3650793650793662E-2</v>
      </c>
      <c r="AL71" s="2">
        <f t="shared" si="11"/>
        <v>3.968253968253968E-3</v>
      </c>
      <c r="AM71" s="2">
        <f t="shared" si="11"/>
        <v>4.7750793650793648</v>
      </c>
      <c r="AN71" s="2">
        <f t="shared" si="11"/>
        <v>9.6666666666666665E-2</v>
      </c>
      <c r="AO71" s="2">
        <f t="shared" si="11"/>
        <v>0</v>
      </c>
      <c r="AP71" s="2">
        <f t="shared" si="11"/>
        <v>11.013174603174603</v>
      </c>
      <c r="AQ71" s="2">
        <f t="shared" si="11"/>
        <v>9.6666666666666665E-2</v>
      </c>
      <c r="AR71" s="2">
        <f t="shared" si="11"/>
        <v>0.11984126984126982</v>
      </c>
      <c r="AS71" s="2">
        <f t="shared" si="11"/>
        <v>4.9206349206349143E-2</v>
      </c>
      <c r="AT71" s="2">
        <f t="shared" si="11"/>
        <v>3.9671428571428566</v>
      </c>
      <c r="AU71" s="2">
        <f t="shared" si="11"/>
        <v>19.515714285714285</v>
      </c>
      <c r="AV71" s="2">
        <f t="shared" si="11"/>
        <v>0.39682539682539675</v>
      </c>
      <c r="AW71" s="2">
        <f t="shared" si="11"/>
        <v>12.209365079365075</v>
      </c>
      <c r="AX71" s="2">
        <f t="shared" si="11"/>
        <v>2.6250793650793658</v>
      </c>
      <c r="AY71" s="2">
        <f t="shared" si="11"/>
        <v>9.5055555555555564</v>
      </c>
      <c r="AZ71" s="2">
        <f t="shared" si="11"/>
        <v>6.1449206349206333</v>
      </c>
      <c r="BA71" s="2">
        <f t="shared" si="11"/>
        <v>74.385555555555541</v>
      </c>
      <c r="BB71" s="2">
        <f t="shared" si="11"/>
        <v>1.9730158730158727</v>
      </c>
      <c r="BC71" s="2">
        <f t="shared" si="11"/>
        <v>7.3650793650793578E-2</v>
      </c>
    </row>
    <row r="72" spans="1:55" x14ac:dyDescent="0.3">
      <c r="A72" s="4"/>
      <c r="C72" s="7" t="s">
        <v>246</v>
      </c>
      <c r="D72" s="2">
        <f>MEDIAN(D2:D64)</f>
        <v>2000</v>
      </c>
      <c r="E72" s="2">
        <f t="shared" ref="E72:BC72" si="14">MEDIAN(E2:E64)</f>
        <v>940</v>
      </c>
      <c r="F72" s="2">
        <f t="shared" si="14"/>
        <v>234.96</v>
      </c>
      <c r="G72" s="2">
        <f t="shared" si="14"/>
        <v>0.08</v>
      </c>
      <c r="H72" s="2">
        <f t="shared" si="14"/>
        <v>476</v>
      </c>
      <c r="I72" s="2">
        <f t="shared" si="14"/>
        <v>0.24</v>
      </c>
      <c r="J72" s="2">
        <f t="shared" si="14"/>
        <v>43.69</v>
      </c>
      <c r="K72" s="2">
        <f t="shared" si="14"/>
        <v>99.47</v>
      </c>
      <c r="L72" s="2">
        <f t="shared" si="14"/>
        <v>128.71</v>
      </c>
      <c r="M72" s="2">
        <f t="shared" si="14"/>
        <v>29.2</v>
      </c>
      <c r="N72" s="2">
        <f t="shared" si="14"/>
        <v>5.94</v>
      </c>
      <c r="O72" s="2">
        <f t="shared" si="14"/>
        <v>2.72</v>
      </c>
      <c r="P72" s="2">
        <f t="shared" si="14"/>
        <v>0.83</v>
      </c>
      <c r="Q72" s="2">
        <f t="shared" si="14"/>
        <v>0.28000000000000003</v>
      </c>
      <c r="R72" s="2">
        <f t="shared" si="14"/>
        <v>4.7</v>
      </c>
      <c r="S72" s="2">
        <f t="shared" si="14"/>
        <v>28.8</v>
      </c>
      <c r="T72" s="2">
        <f t="shared" si="14"/>
        <v>44.6</v>
      </c>
      <c r="U72" s="2">
        <f t="shared" si="14"/>
        <v>8.1999999999999993</v>
      </c>
      <c r="V72" s="10">
        <f t="shared" ref="V72" si="15">MEDIAN(V2:V64)</f>
        <v>89.9</v>
      </c>
      <c r="W72" s="2">
        <f t="shared" si="14"/>
        <v>4.3</v>
      </c>
      <c r="X72" s="2">
        <f t="shared" si="14"/>
        <v>0.5</v>
      </c>
      <c r="Y72" s="10">
        <f t="shared" ref="Y72" si="16">MEDIAN(Y2:Y64)</f>
        <v>4.9000000000000004</v>
      </c>
      <c r="Z72" s="2">
        <f t="shared" si="14"/>
        <v>4</v>
      </c>
      <c r="AA72" s="2">
        <f t="shared" si="14"/>
        <v>6.2</v>
      </c>
      <c r="AB72" s="2">
        <f t="shared" si="14"/>
        <v>6.28</v>
      </c>
      <c r="AC72" s="2">
        <f t="shared" si="14"/>
        <v>2</v>
      </c>
      <c r="AD72" s="2">
        <f t="shared" si="14"/>
        <v>1.42</v>
      </c>
      <c r="AE72" s="2">
        <f t="shared" si="14"/>
        <v>0.02</v>
      </c>
      <c r="AF72" s="2">
        <f t="shared" si="14"/>
        <v>0.33</v>
      </c>
      <c r="AG72" s="2">
        <f t="shared" si="14"/>
        <v>0.3</v>
      </c>
      <c r="AH72" s="2">
        <f t="shared" si="14"/>
        <v>0.04</v>
      </c>
      <c r="AI72" s="2">
        <f t="shared" si="14"/>
        <v>0.15</v>
      </c>
      <c r="AJ72" s="2">
        <f t="shared" si="14"/>
        <v>7.0000000000000007E-2</v>
      </c>
      <c r="AK72" s="2">
        <f t="shared" si="14"/>
        <v>0.02</v>
      </c>
      <c r="AL72" s="2">
        <f t="shared" si="14"/>
        <v>0</v>
      </c>
      <c r="AM72" s="2">
        <f t="shared" si="14"/>
        <v>3.97</v>
      </c>
      <c r="AN72" s="2">
        <f t="shared" si="14"/>
        <v>0.06</v>
      </c>
      <c r="AO72" s="2">
        <f t="shared" si="14"/>
        <v>0</v>
      </c>
      <c r="AP72" s="2">
        <f t="shared" si="14"/>
        <v>8.01</v>
      </c>
      <c r="AQ72" s="2">
        <f t="shared" si="14"/>
        <v>0.06</v>
      </c>
      <c r="AR72" s="2">
        <f t="shared" si="14"/>
        <v>0</v>
      </c>
      <c r="AS72" s="2">
        <f t="shared" si="14"/>
        <v>0.01</v>
      </c>
      <c r="AT72" s="2">
        <f t="shared" si="14"/>
        <v>1.53</v>
      </c>
      <c r="AU72" s="2">
        <f t="shared" si="14"/>
        <v>9.1300000000000008</v>
      </c>
      <c r="AV72" s="2">
        <f t="shared" si="14"/>
        <v>0.14000000000000001</v>
      </c>
      <c r="AW72" s="2">
        <f t="shared" si="14"/>
        <v>5.28</v>
      </c>
      <c r="AX72" s="2">
        <f t="shared" si="14"/>
        <v>1.45</v>
      </c>
      <c r="AY72" s="2">
        <f t="shared" si="14"/>
        <v>5.4</v>
      </c>
      <c r="AZ72" s="2">
        <f t="shared" si="14"/>
        <v>2.2000000000000002</v>
      </c>
      <c r="BA72" s="2">
        <f t="shared" si="14"/>
        <v>23.98</v>
      </c>
      <c r="BB72" s="2">
        <f t="shared" si="14"/>
        <v>0.57999999999999996</v>
      </c>
      <c r="BC72" s="2">
        <f t="shared" si="14"/>
        <v>0.02</v>
      </c>
    </row>
    <row r="73" spans="1:55" x14ac:dyDescent="0.3">
      <c r="A73" s="4"/>
      <c r="C73" s="7" t="s">
        <v>247</v>
      </c>
      <c r="D73" s="2">
        <f>_xlfn.STDEV.P(D2:D64)</f>
        <v>831.74695110817959</v>
      </c>
      <c r="E73" s="2">
        <f t="shared" ref="E73:BC73" si="17">_xlfn.STDEV.P(E2:E64)</f>
        <v>318.32177166342359</v>
      </c>
      <c r="F73" s="2">
        <f t="shared" si="17"/>
        <v>135.45779796110168</v>
      </c>
      <c r="G73" s="2">
        <f t="shared" si="17"/>
        <v>0.19875690777938443</v>
      </c>
      <c r="H73" s="2">
        <f t="shared" si="17"/>
        <v>5416.4069610782972</v>
      </c>
      <c r="I73" s="2">
        <f t="shared" si="17"/>
        <v>0.50192920836420829</v>
      </c>
      <c r="J73" s="2">
        <f t="shared" si="17"/>
        <v>64.562006874948054</v>
      </c>
      <c r="K73" s="2">
        <f t="shared" si="17"/>
        <v>97.430875556032092</v>
      </c>
      <c r="L73" s="2">
        <f t="shared" si="17"/>
        <v>138.81134785173811</v>
      </c>
      <c r="M73" s="2">
        <f t="shared" si="17"/>
        <v>43.122745054589068</v>
      </c>
      <c r="N73" s="2">
        <f t="shared" si="17"/>
        <v>22.739749243701326</v>
      </c>
      <c r="O73" s="2">
        <f t="shared" si="17"/>
        <v>17.042860854987023</v>
      </c>
      <c r="P73" s="2">
        <f t="shared" si="17"/>
        <v>9.2702657817561551</v>
      </c>
      <c r="Q73" s="2">
        <f t="shared" si="17"/>
        <v>2.4292516113573828</v>
      </c>
      <c r="R73" s="2">
        <f t="shared" si="17"/>
        <v>14.52209270796725</v>
      </c>
      <c r="S73" s="2">
        <f t="shared" si="17"/>
        <v>9.5476226101406603</v>
      </c>
      <c r="T73" s="2">
        <f t="shared" si="17"/>
        <v>13.2343828299203</v>
      </c>
      <c r="U73" s="2">
        <f t="shared" si="17"/>
        <v>4.8323680846055739</v>
      </c>
      <c r="V73" s="10">
        <f t="shared" ref="V73" si="18">_xlfn.STDEV.P(V2:V64)</f>
        <v>8.3497715422193597</v>
      </c>
      <c r="W73" s="2">
        <f t="shared" si="17"/>
        <v>2.1139651313272969</v>
      </c>
      <c r="X73" s="2">
        <f t="shared" si="17"/>
        <v>7.5010398204184447</v>
      </c>
      <c r="Y73" s="10">
        <f t="shared" ref="Y73" si="19">_xlfn.STDEV.P(Y2:Y64)</f>
        <v>8.373600972560693</v>
      </c>
      <c r="Z73" s="2">
        <f t="shared" si="17"/>
        <v>4.5346125534967205</v>
      </c>
      <c r="AA73" s="2">
        <f t="shared" si="17"/>
        <v>1.0149999720742271</v>
      </c>
      <c r="AB73" s="2">
        <f t="shared" si="17"/>
        <v>1.1155815510427716</v>
      </c>
      <c r="AC73" s="2">
        <f t="shared" si="17"/>
        <v>3.996983600636121</v>
      </c>
      <c r="AD73" s="2">
        <f t="shared" si="17"/>
        <v>34.255222181618059</v>
      </c>
      <c r="AE73" s="2">
        <f t="shared" si="17"/>
        <v>0.41129743892996129</v>
      </c>
      <c r="AF73" s="2">
        <f t="shared" si="17"/>
        <v>0.56356212397010508</v>
      </c>
      <c r="AG73" s="2">
        <f t="shared" si="17"/>
        <v>0.2950950327560069</v>
      </c>
      <c r="AH73" s="2">
        <f t="shared" si="17"/>
        <v>2.2404018284079501E-2</v>
      </c>
      <c r="AI73" s="2">
        <f t="shared" si="17"/>
        <v>0.69453813426956501</v>
      </c>
      <c r="AJ73" s="2">
        <f t="shared" si="17"/>
        <v>6.8825953257283301E-2</v>
      </c>
      <c r="AK73" s="2">
        <f t="shared" si="17"/>
        <v>1.6163999515048839E-2</v>
      </c>
      <c r="AL73" s="2">
        <f t="shared" si="17"/>
        <v>9.1789411395561665E-3</v>
      </c>
      <c r="AM73" s="2">
        <f t="shared" si="17"/>
        <v>3.2891818218507241</v>
      </c>
      <c r="AN73" s="2">
        <f t="shared" si="17"/>
        <v>9.8464400141564351E-2</v>
      </c>
      <c r="AO73" s="2">
        <f t="shared" si="17"/>
        <v>0</v>
      </c>
      <c r="AP73" s="2">
        <f t="shared" si="17"/>
        <v>8.7308878483409327</v>
      </c>
      <c r="AQ73" s="2">
        <f t="shared" si="17"/>
        <v>9.8464400141564351E-2</v>
      </c>
      <c r="AR73" s="2">
        <f t="shared" si="17"/>
        <v>0.26835472889260292</v>
      </c>
      <c r="AS73" s="2">
        <f t="shared" si="17"/>
        <v>8.9288218659762747E-2</v>
      </c>
      <c r="AT73" s="2">
        <f t="shared" si="17"/>
        <v>7.2003331996471553</v>
      </c>
      <c r="AU73" s="2">
        <f t="shared" si="17"/>
        <v>20.882656638926942</v>
      </c>
      <c r="AV73" s="2">
        <f t="shared" si="17"/>
        <v>0.64281332400140212</v>
      </c>
      <c r="AW73" s="2">
        <f t="shared" si="17"/>
        <v>14.319752355867889</v>
      </c>
      <c r="AX73" s="2">
        <f t="shared" si="17"/>
        <v>3.1486015404251839</v>
      </c>
      <c r="AY73" s="2">
        <f t="shared" si="17"/>
        <v>11.103077619645189</v>
      </c>
      <c r="AZ73" s="2">
        <f t="shared" si="17"/>
        <v>10.710015617052605</v>
      </c>
      <c r="BA73" s="2">
        <f t="shared" si="17"/>
        <v>194.0622894255149</v>
      </c>
      <c r="BB73" s="2">
        <f t="shared" si="17"/>
        <v>3.3618167022356498</v>
      </c>
      <c r="BC73" s="2">
        <f t="shared" si="17"/>
        <v>0.17690730769316229</v>
      </c>
    </row>
    <row r="74" spans="1:55" x14ac:dyDescent="0.3">
      <c r="A74" s="4"/>
      <c r="C74" s="7" t="s">
        <v>248</v>
      </c>
      <c r="D74" s="2">
        <f>SKEW(D2:D64)</f>
        <v>-0.5417042602670078</v>
      </c>
      <c r="E74" s="2">
        <f t="shared" ref="E74:BC74" si="20">SKEW(E2:E64)</f>
        <v>-0.59843847261557459</v>
      </c>
      <c r="F74" s="2">
        <f t="shared" si="20"/>
        <v>0.2810034306140321</v>
      </c>
      <c r="G74" s="2">
        <f t="shared" si="20"/>
        <v>4.8310925568631715</v>
      </c>
      <c r="H74" s="2">
        <f t="shared" si="20"/>
        <v>4.5273713689143067</v>
      </c>
      <c r="I74" s="2">
        <f t="shared" si="20"/>
        <v>2.4816427617163592</v>
      </c>
      <c r="J74" s="2">
        <f t="shared" si="20"/>
        <v>6.7486765654252272</v>
      </c>
      <c r="K74" s="2">
        <f t="shared" si="20"/>
        <v>1.3436255083913959</v>
      </c>
      <c r="L74" s="2">
        <f t="shared" si="20"/>
        <v>1.2050578020928462</v>
      </c>
      <c r="M74" s="2">
        <f t="shared" si="20"/>
        <v>1.4213059987067984</v>
      </c>
      <c r="N74" s="2">
        <f t="shared" si="20"/>
        <v>2.2103577920135122</v>
      </c>
      <c r="O74" s="2">
        <f t="shared" si="20"/>
        <v>3.7972737915399142</v>
      </c>
      <c r="P74" s="2">
        <f t="shared" si="20"/>
        <v>3.3313316424342228</v>
      </c>
      <c r="Q74" s="2">
        <f t="shared" si="20"/>
        <v>3.9415708331160562</v>
      </c>
      <c r="R74" s="2">
        <f t="shared" si="20"/>
        <v>3.0518356054474176</v>
      </c>
      <c r="S74" s="2">
        <f t="shared" si="20"/>
        <v>-7.7403170268757371E-2</v>
      </c>
      <c r="T74" s="2">
        <f t="shared" si="20"/>
        <v>-1.0854538969610048</v>
      </c>
      <c r="U74" s="2">
        <f t="shared" si="20"/>
        <v>2.0009529705523024</v>
      </c>
      <c r="V74" s="10">
        <f t="shared" ref="V74" si="21">SKEW(V2:V64)</f>
        <v>-1.9325754442978631</v>
      </c>
      <c r="W74" s="2">
        <f t="shared" si="20"/>
        <v>3.2475455884616231</v>
      </c>
      <c r="X74" s="2">
        <f t="shared" si="20"/>
        <v>6.9826312080515462</v>
      </c>
      <c r="Y74" s="10">
        <f t="shared" ref="Y74" si="22">SKEW(Y2:Y64)</f>
        <v>5.5629553435474079</v>
      </c>
      <c r="Z74" s="2">
        <f t="shared" si="20"/>
        <v>1.6538271505816304</v>
      </c>
      <c r="AA74" s="2">
        <f t="shared" si="20"/>
        <v>0.39227249155148508</v>
      </c>
      <c r="AB74" s="2">
        <f t="shared" si="20"/>
        <v>-1.7807125756164551E-2</v>
      </c>
      <c r="AC74" s="2">
        <f t="shared" si="20"/>
        <v>1.5450148378750015</v>
      </c>
      <c r="AD74" s="2">
        <f t="shared" si="20"/>
        <v>6.456946323729059</v>
      </c>
      <c r="AE74" s="2">
        <f t="shared" si="20"/>
        <v>6.4573366723243213</v>
      </c>
      <c r="AF74" s="2">
        <f t="shared" si="20"/>
        <v>4.0221801459075062</v>
      </c>
      <c r="AG74" s="2">
        <f t="shared" si="20"/>
        <v>3.0710092331301868</v>
      </c>
      <c r="AH74" s="2">
        <f t="shared" si="20"/>
        <v>1.1591105298763098</v>
      </c>
      <c r="AI74" s="2">
        <f t="shared" si="20"/>
        <v>2.1510121129301054</v>
      </c>
      <c r="AJ74" s="2">
        <f t="shared" si="20"/>
        <v>1.3416667541855987</v>
      </c>
      <c r="AK74" s="2">
        <f t="shared" si="20"/>
        <v>1.4850737374364655</v>
      </c>
      <c r="AL74" s="2">
        <f t="shared" si="20"/>
        <v>2.3946427142075524</v>
      </c>
      <c r="AM74" s="2">
        <f t="shared" si="20"/>
        <v>1.0376205058181527</v>
      </c>
      <c r="AN74" s="2">
        <f t="shared" si="20"/>
        <v>1.6552379011747198</v>
      </c>
      <c r="AO74" s="2" t="e">
        <f t="shared" si="20"/>
        <v>#DIV/0!</v>
      </c>
      <c r="AP74" s="2">
        <f t="shared" si="20"/>
        <v>1.2702788660947764</v>
      </c>
      <c r="AQ74" s="2">
        <f t="shared" si="20"/>
        <v>1.6552379011747198</v>
      </c>
      <c r="AR74" s="2">
        <f t="shared" si="20"/>
        <v>2.4896903628284734</v>
      </c>
      <c r="AS74" s="2">
        <f t="shared" si="20"/>
        <v>3.1957415109843486</v>
      </c>
      <c r="AT74" s="2">
        <f t="shared" si="20"/>
        <v>4.0286371908926943</v>
      </c>
      <c r="AU74" s="2">
        <f t="shared" si="20"/>
        <v>1.4982394321811034</v>
      </c>
      <c r="AV74" s="2">
        <f t="shared" si="20"/>
        <v>2.5277391226759414</v>
      </c>
      <c r="AW74" s="2">
        <f t="shared" si="20"/>
        <v>1.2180807185486453</v>
      </c>
      <c r="AX74" s="2">
        <f t="shared" si="20"/>
        <v>1.9707795875897167</v>
      </c>
      <c r="AY74" s="2">
        <f t="shared" si="20"/>
        <v>2.7673394618910376</v>
      </c>
      <c r="AZ74" s="2">
        <f t="shared" si="20"/>
        <v>2.8455986267966464</v>
      </c>
      <c r="BA74" s="2">
        <f t="shared" si="20"/>
        <v>5.4536026697902296</v>
      </c>
      <c r="BB74" s="2">
        <f t="shared" si="20"/>
        <v>2.2606911951573503</v>
      </c>
      <c r="BC74" s="2">
        <f t="shared" si="20"/>
        <v>3.6704402392382613</v>
      </c>
    </row>
  </sheetData>
  <autoFilter ref="A1:BC74" xr:uid="{16988FCD-067F-4703-A640-1E7BD9FDAB47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E55B-33FE-4A09-9E5C-DC4349D2A44B}">
  <dimension ref="A1:N24"/>
  <sheetViews>
    <sheetView topLeftCell="A13" workbookViewId="0">
      <selection activeCell="E16" sqref="E16:J26"/>
    </sheetView>
  </sheetViews>
  <sheetFormatPr defaultRowHeight="14.4" x14ac:dyDescent="0.3"/>
  <cols>
    <col min="1" max="14" width="11" customWidth="1"/>
  </cols>
  <sheetData>
    <row r="1" spans="1:14" x14ac:dyDescent="0.3">
      <c r="A1" t="s">
        <v>2</v>
      </c>
      <c r="B1" t="s">
        <v>7</v>
      </c>
      <c r="C1" t="s">
        <v>10</v>
      </c>
      <c r="D1" t="s">
        <v>11</v>
      </c>
      <c r="E1" t="s">
        <v>13</v>
      </c>
      <c r="F1" t="s">
        <v>14</v>
      </c>
      <c r="G1" t="s">
        <v>249</v>
      </c>
      <c r="H1" t="s">
        <v>250</v>
      </c>
      <c r="I1" t="s">
        <v>23</v>
      </c>
      <c r="J1" t="s">
        <v>24</v>
      </c>
      <c r="K1" t="s">
        <v>26</v>
      </c>
      <c r="L1" t="s">
        <v>30</v>
      </c>
      <c r="M1" t="s">
        <v>31</v>
      </c>
      <c r="N1" t="s">
        <v>39</v>
      </c>
    </row>
    <row r="3" spans="1:14" x14ac:dyDescent="0.3">
      <c r="A3" t="s">
        <v>242</v>
      </c>
      <c r="B3">
        <v>63</v>
      </c>
      <c r="C3">
        <v>63</v>
      </c>
      <c r="D3">
        <v>63</v>
      </c>
      <c r="E3">
        <v>63</v>
      </c>
      <c r="F3">
        <v>63</v>
      </c>
      <c r="G3">
        <v>63</v>
      </c>
      <c r="H3">
        <v>63</v>
      </c>
      <c r="I3">
        <v>63</v>
      </c>
      <c r="J3">
        <v>63</v>
      </c>
      <c r="K3">
        <v>63</v>
      </c>
      <c r="L3">
        <v>63</v>
      </c>
      <c r="M3">
        <v>63</v>
      </c>
      <c r="N3">
        <v>63</v>
      </c>
    </row>
    <row r="4" spans="1:14" x14ac:dyDescent="0.3">
      <c r="A4" t="s">
        <v>243</v>
      </c>
      <c r="B4" s="11">
        <v>7.99</v>
      </c>
      <c r="C4" s="11">
        <v>13.34</v>
      </c>
      <c r="D4" s="11">
        <v>3.48</v>
      </c>
      <c r="E4" s="11">
        <v>3.1</v>
      </c>
      <c r="F4" s="11">
        <v>0</v>
      </c>
      <c r="G4" s="11">
        <v>58.2</v>
      </c>
      <c r="H4" s="11">
        <v>3.1</v>
      </c>
      <c r="I4" s="11">
        <v>0</v>
      </c>
      <c r="J4" s="11">
        <v>4.5199999999999996</v>
      </c>
      <c r="K4" s="11">
        <v>0.9</v>
      </c>
      <c r="L4" s="11">
        <v>0.05</v>
      </c>
      <c r="M4" s="11">
        <v>0.01</v>
      </c>
      <c r="N4" s="11">
        <v>0.6</v>
      </c>
    </row>
    <row r="5" spans="1:14" x14ac:dyDescent="0.3">
      <c r="A5" t="s">
        <v>244</v>
      </c>
      <c r="B5" s="11">
        <v>33467</v>
      </c>
      <c r="C5" s="11">
        <v>414.38</v>
      </c>
      <c r="D5" s="11">
        <v>523.95000000000005</v>
      </c>
      <c r="E5" s="11">
        <v>97.56</v>
      </c>
      <c r="F5" s="11">
        <v>90.29</v>
      </c>
      <c r="G5" s="11">
        <v>94.7</v>
      </c>
      <c r="H5" s="11">
        <v>65</v>
      </c>
      <c r="I5" s="11">
        <v>22</v>
      </c>
      <c r="J5" s="11">
        <v>8.4</v>
      </c>
      <c r="K5" s="11">
        <v>18.3</v>
      </c>
      <c r="L5" s="11">
        <v>2.0299999999999998</v>
      </c>
      <c r="M5" s="11">
        <v>0.1</v>
      </c>
      <c r="N5" s="11">
        <v>37.659999999999997</v>
      </c>
    </row>
    <row r="6" spans="1:14" x14ac:dyDescent="0.3">
      <c r="A6" t="s">
        <v>245</v>
      </c>
      <c r="B6" s="11">
        <v>2037.2001587301588</v>
      </c>
      <c r="C6" s="11">
        <v>122.63793650793653</v>
      </c>
      <c r="D6" s="11">
        <v>161.00888888888886</v>
      </c>
      <c r="E6" s="11">
        <v>16.455873015873014</v>
      </c>
      <c r="F6" s="11">
        <v>8.3738095238095216</v>
      </c>
      <c r="G6" s="11">
        <v>86.980952380952417</v>
      </c>
      <c r="H6" s="11">
        <v>7.2650793650793659</v>
      </c>
      <c r="I6" s="11">
        <v>4.9603174603174605</v>
      </c>
      <c r="J6" s="11">
        <v>6.3647619047619033</v>
      </c>
      <c r="K6" s="11">
        <v>4.0517460317460321</v>
      </c>
      <c r="L6" s="11">
        <v>0.38174603174603172</v>
      </c>
      <c r="M6" s="11">
        <v>4.1111111111111112E-2</v>
      </c>
      <c r="N6" s="11">
        <v>11.013174603174603</v>
      </c>
    </row>
    <row r="7" spans="1:14" x14ac:dyDescent="0.3">
      <c r="A7" t="s">
        <v>246</v>
      </c>
      <c r="B7" s="11">
        <v>476</v>
      </c>
      <c r="C7" s="11">
        <v>99.47</v>
      </c>
      <c r="D7" s="11">
        <v>128.71</v>
      </c>
      <c r="E7" s="11">
        <v>5.94</v>
      </c>
      <c r="F7" s="11">
        <v>2.72</v>
      </c>
      <c r="G7" s="11">
        <v>89.9</v>
      </c>
      <c r="H7" s="11">
        <v>4.9000000000000004</v>
      </c>
      <c r="I7" s="11">
        <v>4</v>
      </c>
      <c r="J7" s="11">
        <v>6.2</v>
      </c>
      <c r="K7" s="11">
        <v>2</v>
      </c>
      <c r="L7" s="11">
        <v>0.3</v>
      </c>
      <c r="M7" s="11">
        <v>0.04</v>
      </c>
      <c r="N7" s="11">
        <v>8.01</v>
      </c>
    </row>
    <row r="8" spans="1:14" x14ac:dyDescent="0.3">
      <c r="A8" t="s">
        <v>247</v>
      </c>
      <c r="B8" s="11">
        <v>5416.4069610782972</v>
      </c>
      <c r="C8" s="11">
        <v>97.430875556032092</v>
      </c>
      <c r="D8" s="11">
        <v>138.81134785173811</v>
      </c>
      <c r="E8" s="11">
        <v>22.739749243701326</v>
      </c>
      <c r="F8" s="11">
        <v>17.042860854987023</v>
      </c>
      <c r="G8" s="11">
        <v>8.3497715422193597</v>
      </c>
      <c r="H8" s="11">
        <v>8.373600972560693</v>
      </c>
      <c r="I8" s="11">
        <v>4.5346125534967205</v>
      </c>
      <c r="J8" s="11">
        <v>1.0149999720742271</v>
      </c>
      <c r="K8" s="11">
        <v>3.996983600636121</v>
      </c>
      <c r="L8" s="11">
        <v>0.2950950327560069</v>
      </c>
      <c r="M8" s="11">
        <v>2.2404018284079501E-2</v>
      </c>
      <c r="N8" s="11">
        <v>8.7308878483409327</v>
      </c>
    </row>
    <row r="9" spans="1:14" x14ac:dyDescent="0.3">
      <c r="A9" t="s">
        <v>248</v>
      </c>
      <c r="B9" s="11">
        <v>4.5273713689143067</v>
      </c>
      <c r="C9" s="11">
        <v>1.3436255083913959</v>
      </c>
      <c r="D9" s="11">
        <v>1.2050578020928462</v>
      </c>
      <c r="E9" s="11">
        <v>2.2103577920135122</v>
      </c>
      <c r="F9" s="11">
        <v>3.7972737915399142</v>
      </c>
      <c r="G9" s="11">
        <v>-1.9325754442978631</v>
      </c>
      <c r="H9" s="11">
        <v>5.5629553435474079</v>
      </c>
      <c r="I9" s="11">
        <v>1.6538271505816304</v>
      </c>
      <c r="J9" s="11">
        <v>0.39227249155148508</v>
      </c>
      <c r="K9" s="11">
        <v>1.5450148378750015</v>
      </c>
      <c r="L9" s="11">
        <v>3.0710092331301868</v>
      </c>
      <c r="M9" s="11">
        <v>1.1591105298763098</v>
      </c>
      <c r="N9" s="11">
        <v>1.2702788660947764</v>
      </c>
    </row>
    <row r="19" spans="6:9" x14ac:dyDescent="0.3">
      <c r="F19" s="11"/>
      <c r="G19" s="11"/>
      <c r="H19" s="11"/>
      <c r="I19" s="11"/>
    </row>
    <row r="20" spans="6:9" x14ac:dyDescent="0.3">
      <c r="F20" s="11"/>
      <c r="G20" s="11"/>
      <c r="H20" s="11"/>
      <c r="I20" s="11"/>
    </row>
    <row r="21" spans="6:9" x14ac:dyDescent="0.3">
      <c r="F21" s="11"/>
      <c r="G21" s="11"/>
      <c r="H21" s="11"/>
      <c r="I21" s="11"/>
    </row>
    <row r="22" spans="6:9" x14ac:dyDescent="0.3">
      <c r="F22" s="11"/>
      <c r="G22" s="11"/>
      <c r="H22" s="11"/>
      <c r="I22" s="11"/>
    </row>
    <row r="23" spans="6:9" x14ac:dyDescent="0.3">
      <c r="F23" s="11"/>
      <c r="G23" s="11"/>
      <c r="H23" s="11"/>
      <c r="I23" s="11"/>
    </row>
    <row r="24" spans="6:9" x14ac:dyDescent="0.3">
      <c r="F24" s="11"/>
      <c r="G24" s="11"/>
      <c r="H24" s="11"/>
      <c r="I2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S4A_Wetchem_20240911_NA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Coetzee</cp:lastModifiedBy>
  <dcterms:created xsi:type="dcterms:W3CDTF">2025-01-28T12:37:53Z</dcterms:created>
  <dcterms:modified xsi:type="dcterms:W3CDTF">2025-01-28T13:17:06Z</dcterms:modified>
</cp:coreProperties>
</file>